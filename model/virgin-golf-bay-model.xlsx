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Unit economics" sheetId="3" state="visible" r:id="rId5"/>
    <sheet name="Debt" sheetId="4" state="visible" r:id="rId6"/>
    <sheet name="Chain" sheetId="5" state="visible" r:id="rId7"/>
    <sheet name="Chain low" sheetId="6" state="visible" r:id="rId8"/>
    <sheet name="Chain high" sheetId="7" state="visible" r:id="rId9"/>
    <sheet name="Negotiation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3" authorId="0">
      <text>
        <r>
          <rPr>
            <sz val="10"/>
            <rFont val="Arial"/>
            <family val="2"/>
          </rPr>
          <t xml:space="preserve">Golfzon commercial ranges published at $25k to $90k a bay (golfzongolf.com, rggolf.com 2026 comparison). TwoVision NX $60k, Vision Standard $35k, GDR Plus $22k are working assumptions until Golfzon quotes.</t>
        </r>
      </text>
    </comment>
    <comment ref="C63" authorId="0">
      <text>
        <r>
          <rPr>
            <sz val="10"/>
            <rFont val="Arial"/>
            <family val="2"/>
          </rPr>
          <t xml:space="preserve">Golfzon's own venue guidance is 10 booked hours a day. Base case is 6.0 / 5.0 / 4.5 hours by bay type.</t>
        </r>
      </text>
    </comment>
    <comment ref="C69" authorId="0">
      <text>
        <r>
          <rPr>
            <sz val="10"/>
            <rFont val="Arial"/>
            <family val="2"/>
          </rPr>
          <t xml:space="preserve">Phase one lands mid-year, so 50% of 2027 is live. Two bays a club in 70 clubs, one bay in 60 smaller clubs.</t>
        </r>
      </text>
    </comment>
    <comment ref="D64" authorId="0">
      <text>
        <r>
          <rPr>
            <sz val="10"/>
            <rFont val="Arial"/>
            <family val="2"/>
          </rPr>
          <t xml:space="preserve">Virgin Active padel is R400 an hour. Cape Town and Johannesburg simulator venues charge R200 to R400 a bay an hour (Par 72, Golf Bar, Golf Sim Centre). Yields are blended across peak, off-peak, member and non-member rates.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6" authorId="0">
      <text>
        <r>
          <rPr>
            <sz val="10"/>
            <rFont val="Arial"/>
            <family val="2"/>
          </rPr>
          <t xml:space="preserve">Instalment on the RMB share of this bay's capex over the amortising term. During the 12-month interest-only period the instalment is lower; see the Debt sheet.</t>
        </r>
      </text>
    </comment>
  </commentList>
</comments>
</file>

<file path=xl/sharedStrings.xml><?xml version="1.0" encoding="utf-8"?>
<sst xmlns="http://schemas.openxmlformats.org/spreadsheetml/2006/main" count="541" uniqueCount="237">
  <si>
    <t xml:space="preserve">Virgin Golf bay model — summary</t>
  </si>
  <si>
    <t xml:space="preserve">Get Lucky Golf × Virgin Active, financed by RMB. 200 Golfzon bays in 130 clubs. ZAR ex VAT. Change inputs on Assumptions; nothing here is typed in.</t>
  </si>
  <si>
    <t xml:space="preserve">The order</t>
  </si>
  <si>
    <t xml:space="preserve">Capex, 200 bays landed and installed</t>
  </si>
  <si>
    <t xml:space="preserve">RMB facility</t>
  </si>
  <si>
    <t xml:space="preserve">Equity deposit</t>
  </si>
  <si>
    <t xml:space="preserve">Facility rate</t>
  </si>
  <si>
    <t xml:space="preserve">2031, the first full year at 200 bays</t>
  </si>
  <si>
    <t xml:space="preserve">Low</t>
  </si>
  <si>
    <t xml:space="preserve">Selected case</t>
  </si>
  <si>
    <t xml:space="preserve">High</t>
  </si>
  <si>
    <t xml:space="preserve">Booked hours a bay a day</t>
  </si>
  <si>
    <t xml:space="preserve">Revenue</t>
  </si>
  <si>
    <t xml:space="preserve">To Virgin Active</t>
  </si>
  <si>
    <t xml:space="preserve">EBITDA</t>
  </si>
  <si>
    <t xml:space="preserve">EBITDA margin</t>
  </si>
  <si>
    <t xml:space="preserve">Debt service</t>
  </si>
  <si>
    <t xml:space="preserve">Debt cover</t>
  </si>
  <si>
    <t xml:space="preserve">Cash after debt</t>
  </si>
  <si>
    <t xml:space="preserve">Equity needed, deposits and ramp together</t>
  </si>
  <si>
    <t xml:space="preserve">A bay at maturity, selected case</t>
  </si>
  <si>
    <t xml:space="preserve">Signature</t>
  </si>
  <si>
    <t xml:space="preserve">Play</t>
  </si>
  <si>
    <t xml:space="preserve">Practice</t>
  </si>
  <si>
    <t xml:space="preserve">Landed and installed</t>
  </si>
  <si>
    <t xml:space="preserve">Booked hours a day</t>
  </si>
  <si>
    <t xml:space="preserve">Payback, years</t>
  </si>
  <si>
    <t xml:space="preserve">Virgin Golf bay model — Get Lucky Golf × Virgin Active</t>
  </si>
  <si>
    <t xml:space="preserve">Blue cells are inputs. Black cells are formulas. Green cells link to another sheet. Yellow is the case selector. All money in ZAR ex VAT.</t>
  </si>
  <si>
    <t xml:space="preserve">Case selector</t>
  </si>
  <si>
    <t xml:space="preserve">Utilisation multiplier in use (1.00 base, 0.70 low, 1.25 high)</t>
  </si>
  <si>
    <t xml:space="preserve">Change this one cell to run the whole model at a different level of use. Booked hours and add-on take-up both scale with it.</t>
  </si>
  <si>
    <t xml:space="preserve">Low case multiplier</t>
  </si>
  <si>
    <t xml:space="preserve">70% of base use: 3.5 booked hours a bay a day at maturity.</t>
  </si>
  <si>
    <t xml:space="preserve">Base case multiplier</t>
  </si>
  <si>
    <t xml:space="preserve">High case multiplier</t>
  </si>
  <si>
    <t xml:space="preserve">125% of base use: 6.3 booked hours a bay a day.</t>
  </si>
  <si>
    <t xml:space="preserve">Money and financing</t>
  </si>
  <si>
    <t xml:space="preserve">ZAR per USD</t>
  </si>
  <si>
    <t xml:space="preserve">Same rate as the Get Lucky investor model.</t>
  </si>
  <si>
    <t xml:space="preserve">SA prime lending rate</t>
  </si>
  <si>
    <t xml:space="preserve">10.5% from 28 May 2026, unchanged at the 23 July 2026 MPC. Source: SARB / debtsolutions4u.co.za prime rate tracker, August 2026.</t>
  </si>
  <si>
    <t xml:space="preserve">RMB margin over prime</t>
  </si>
  <si>
    <t xml:space="preserve">Assumed asset-finance margin. To be replaced by the RMB term sheet.</t>
  </si>
  <si>
    <t xml:space="preserve">Interest-only months per phase</t>
  </si>
  <si>
    <t xml:space="preserve">Capital holiday while a phase is commissioned and ramps.</t>
  </si>
  <si>
    <t xml:space="preserve">Amortising months per phase, after interest-only</t>
  </si>
  <si>
    <t xml:space="preserve">RMB share of landed capex</t>
  </si>
  <si>
    <t xml:space="preserve">Get Lucky Golf funds the balance as an equity deposit.</t>
  </si>
  <si>
    <t xml:space="preserve">Landed factor on Golfzon hardware</t>
  </si>
  <si>
    <t xml:space="preserve">Freight, duties, enclosure, screen, seating, installation, on top of hardware list price. Assumption; replaced by the Golfzon quote.</t>
  </si>
  <si>
    <t xml:space="preserve">Room shell cost carried by Get Lucky Golf, per bay</t>
  </si>
  <si>
    <t xml:space="preserve">Opening position: Virgin Active builds the shell and power inside its refurbishments, so this is 0. If Get Lucky Golf builds, enter about R150,000. Negotiable.</t>
  </si>
  <si>
    <t xml:space="preserve">Shell cost per bay if Get Lucky Golf builds (for the negotiation grid)</t>
  </si>
  <si>
    <t xml:space="preserve">The concession</t>
  </si>
  <si>
    <t xml:space="preserve">Virgin Active share of bay revenue</t>
  </si>
  <si>
    <t xml:space="preserve">Opening position, negotiable. Applies to bay hire, memberships, leagues and the insured shot; not to sponsorship.</t>
  </si>
  <si>
    <t xml:space="preserve">Bookable hours a day</t>
  </si>
  <si>
    <t xml:space="preserve">Club hours: about 05:00 to 21:00 weekdays, shorter weekends.</t>
  </si>
  <si>
    <t xml:space="preserve">Bookable days a year</t>
  </si>
  <si>
    <t xml:space="preserve">Bookable hours a bay a year</t>
  </si>
  <si>
    <t xml:space="preserve">Maximum utilisation</t>
  </si>
  <si>
    <t xml:space="preserve">Cap so the high case cannot exceed a physically bookable level.</t>
  </si>
  <si>
    <t xml:space="preserve">Members and the add-on</t>
  </si>
  <si>
    <t xml:space="preserve">Virgin Active members, Southern Africa</t>
  </si>
  <si>
    <t xml:space="preserve">Virgin Active published figures to March 2026 (IOL Business Report, Nov 2025; Brait results).</t>
  </si>
  <si>
    <t xml:space="preserve">Virgin Active clubs, Southern Africa</t>
  </si>
  <si>
    <t xml:space="preserve">Published figure, March 2026.</t>
  </si>
  <si>
    <t xml:space="preserve">Members a club</t>
  </si>
  <si>
    <t xml:space="preserve">Golf add-on, R a month ex VAT, on the Virgin Active bill</t>
  </si>
  <si>
    <t xml:space="preserve">One included off-peak hour and 20% off bookings. Included hours sit inside the utilisation figure.</t>
  </si>
  <si>
    <t xml:space="preserve">Add-on take-up at maturity, share of members at clubs with bays</t>
  </si>
  <si>
    <t xml:space="preserve">Assumption. Scales with the utilisation multiplier.</t>
  </si>
  <si>
    <t xml:space="preserve">Add-on take-up ramp, year a club opens</t>
  </si>
  <si>
    <t xml:space="preserve">Share of mature take-up.</t>
  </si>
  <si>
    <t xml:space="preserve">Add-on take-up ramp, second year</t>
  </si>
  <si>
    <t xml:space="preserve">Other revenue per bay</t>
  </si>
  <si>
    <t xml:space="preserve">Leagues, events and corporate, a bay a year at maturity</t>
  </si>
  <si>
    <t xml:space="preserve">Assumption.</t>
  </si>
  <si>
    <t xml:space="preserve">Naming partner, a bay a year</t>
  </si>
  <si>
    <t xml:space="preserve">Deliberately modest. Santam, RMB or a beverage brand could take chain naming at a multiple.</t>
  </si>
  <si>
    <t xml:space="preserve">Get Lucky insured shot: stake</t>
  </si>
  <si>
    <t xml:space="preserve">R50 for a swing at R25,000, as on course.</t>
  </si>
  <si>
    <t xml:space="preserve">Insured shots taken per booked bay-hour</t>
  </si>
  <si>
    <t xml:space="preserve">2.5 players in a bay-hour, one in four takes a shot.</t>
  </si>
  <si>
    <t xml:space="preserve">Premium ceded to Santam, share of stake</t>
  </si>
  <si>
    <t xml:space="preserve">Same 24% as the on-course product in the investor model.</t>
  </si>
  <si>
    <t xml:space="preserve">Insured shot revenue per booked hour, net of premium</t>
  </si>
  <si>
    <t xml:space="preserve">Operating costs</t>
  </si>
  <si>
    <t xml:space="preserve">Card and booking fees, share of shared revenue</t>
  </si>
  <si>
    <t xml:space="preserve">Marketing, share of revenue</t>
  </si>
  <si>
    <t xml:space="preserve">Asset insurance, share of capex a year</t>
  </si>
  <si>
    <t xml:space="preserve">Golfzon software, courses and service, share of hardware a year</t>
  </si>
  <si>
    <t xml:space="preserve">Assumption; replaced by the Golfzon service contract.</t>
  </si>
  <si>
    <t xml:space="preserve">Consumables and maintenance, a bay a year</t>
  </si>
  <si>
    <t xml:space="preserve">Balls, mats, tees, screens, projector lamps.</t>
  </si>
  <si>
    <t xml:space="preserve">People and central overhead allocated per bay in the unit view</t>
  </si>
  <si>
    <t xml:space="preserve">R12m people plus R4m central at maturity across 200 bays.</t>
  </si>
  <si>
    <t xml:space="preserve">Ramp</t>
  </si>
  <si>
    <t xml:space="preserve">Use in the year a bay is commissioned, share of mature</t>
  </si>
  <si>
    <t xml:space="preserve">Use in the second year, share of mature</t>
  </si>
  <si>
    <t xml:space="preserve">Depreciation, years (memo only)</t>
  </si>
  <si>
    <t xml:space="preserve">Company tax (memo only)</t>
  </si>
  <si>
    <t xml:space="preserve">EBITDA and debt service are shown before tax.</t>
  </si>
  <si>
    <t xml:space="preserve">Bay types</t>
  </si>
  <si>
    <t xml:space="preserve">Bay</t>
  </si>
  <si>
    <t xml:space="preserve">Hardware, USD list</t>
  </si>
  <si>
    <t xml:space="preserve">Mature utilisation</t>
  </si>
  <si>
    <t xml:space="preserve">Blended yield per booked hour, R</t>
  </si>
  <si>
    <t xml:space="preserve">Units in the order</t>
  </si>
  <si>
    <t xml:space="preserve">Where</t>
  </si>
  <si>
    <t xml:space="preserve">TwoVision NX, Collection and flagship clubs</t>
  </si>
  <si>
    <t xml:space="preserve">Vision Standard, metro clubs</t>
  </si>
  <si>
    <t xml:space="preserve">GDR Plus, coaching bays</t>
  </si>
  <si>
    <t xml:space="preserve">Phases</t>
  </si>
  <si>
    <t xml:space="preserve">Phase</t>
  </si>
  <si>
    <t xml:space="preserve">Commissioned</t>
  </si>
  <si>
    <t xml:space="preserve">Share of that year live</t>
  </si>
  <si>
    <t xml:space="preserve">Signature units</t>
  </si>
  <si>
    <t xml:space="preserve">Play units</t>
  </si>
  <si>
    <t xml:space="preserve">Practice units</t>
  </si>
  <si>
    <t xml:space="preserve">Clubs</t>
  </si>
  <si>
    <t xml:space="preserve">Phase 1</t>
  </si>
  <si>
    <t xml:space="preserve">Phase 2</t>
  </si>
  <si>
    <t xml:space="preserve">Phase 3</t>
  </si>
  <si>
    <t xml:space="preserve">Fixed costs by year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</si>
  <si>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</si>
  <si>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</si>
  <si>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</si>
  <si>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</si>
  <si>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</si>
  <si>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</si>
  <si>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</si>
  <si>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People: hosts in Collection and flagship clubs, four regional technicians, a small central team</t>
  </si>
  <si>
    <t xml:space="preserve">Central overhead</t>
  </si>
  <si>
    <t xml:space="preserve">A bay at maturity, at the multiplier in use</t>
  </si>
  <si>
    <t xml:space="preserve">Per bay, per year, ZAR ex VAT. Membership, people and central are allocated evenly across the 200 bays.</t>
  </si>
  <si>
    <t xml:space="preserve">Hardware, ZAR</t>
  </si>
  <si>
    <t xml:space="preserve">Landed and installed, plus any shell cost carried</t>
  </si>
  <si>
    <t xml:space="preserve">Utilisation in use</t>
  </si>
  <si>
    <t xml:space="preserve">Booked hours a year</t>
  </si>
  <si>
    <t xml:space="preserve">Blended yield per booked hour</t>
  </si>
  <si>
    <t xml:space="preserve">Bay hire</t>
  </si>
  <si>
    <t xml:space="preserve">Golf add-on, allocated per bay</t>
  </si>
  <si>
    <t xml:space="preserve">Leagues, events, corporate</t>
  </si>
  <si>
    <t xml:space="preserve">Get Lucky insured shot, net of premium</t>
  </si>
  <si>
    <t xml:space="preserve">Naming partner</t>
  </si>
  <si>
    <t xml:space="preserve">Virgin Active concession</t>
  </si>
  <si>
    <t xml:space="preserve">Card and booking fees</t>
  </si>
  <si>
    <t xml:space="preserve">Marketing</t>
  </si>
  <si>
    <t xml:space="preserve">Golfzon service and software</t>
  </si>
  <si>
    <t xml:space="preserve">Consumables and maintenance</t>
  </si>
  <si>
    <t xml:space="preserve">Asset insurance</t>
  </si>
  <si>
    <t xml:space="preserve">People and central, allocated</t>
  </si>
  <si>
    <t xml:space="preserve">RMB instalments, full amortising year</t>
  </si>
  <si>
    <t xml:space="preserve">Payback on capex from EBITDA, years</t>
  </si>
  <si>
    <t xml:space="preserve">Memo: to Virgin Active, a bay a year</t>
  </si>
  <si>
    <t xml:space="preserve">RMB facility, monthly, by phase</t>
  </si>
  <si>
    <t xml:space="preserve">Each phase is drawn in January of its commissioning year, interest-only for the holiday, then amortised over the term. Capex per phase includes any shell cost carried.</t>
  </si>
  <si>
    <t xml:space="preserve">Capex</t>
  </si>
  <si>
    <t xml:space="preserve">Drawn</t>
  </si>
  <si>
    <t xml:space="preserve">Draw month #</t>
  </si>
  <si>
    <t xml:space="preserve">Instalment</t>
  </si>
  <si>
    <t xml:space="preserve">Month #</t>
  </si>
  <si>
    <t xml:space="preserve">Opening</t>
  </si>
  <si>
    <t xml:space="preserve">Interest</t>
  </si>
  <si>
    <t xml:space="preserve">Principal</t>
  </si>
  <si>
    <t xml:space="preserve">Closing</t>
  </si>
  <si>
    <t xml:space="preserve">Annual</t>
  </si>
  <si>
    <t xml:space="preserve">Phase 1 interest</t>
  </si>
  <si>
    <t xml:space="preserve">Phase 1 principal</t>
  </si>
  <si>
    <t xml:space="preserve">Phase 2 interest</t>
  </si>
  <si>
    <t xml:space="preserve">Phase 2 principal</t>
  </si>
  <si>
    <t xml:space="preserve">Phase 3 interest</t>
  </si>
  <si>
    <t xml:space="preserve">Phase 3 principal</t>
  </si>
  <si>
    <t xml:space="preserve">Total interest</t>
  </si>
  <si>
    <t xml:space="preserve">Total principal</t>
  </si>
  <si>
    <t xml:space="preserve">Total debt service</t>
  </si>
  <si>
    <t xml:space="preserve">Closing balance</t>
  </si>
  <si>
    <t xml:space="preserve">The chain, 2027 to 2032 — at the multiplier selected on Assumptions</t>
  </si>
  <si>
    <t xml:space="preserve">Utilisation multiplier</t>
  </si>
  <si>
    <t xml:space="preserve">Bay age, years</t>
  </si>
  <si>
    <t xml:space="preserve">Share of year live</t>
  </si>
  <si>
    <t xml:space="preserve">Use factor (live × ramp)</t>
  </si>
  <si>
    <t xml:space="preserve">Capex in year</t>
  </si>
  <si>
    <t xml:space="preserve">Bays live</t>
  </si>
  <si>
    <t xml:space="preserve">Clubs live</t>
  </si>
  <si>
    <t xml:space="preserve">Booked hours</t>
  </si>
  <si>
    <t xml:space="preserve">Golf add-on</t>
  </si>
  <si>
    <t xml:space="preserve">Insured shot, net of premium</t>
  </si>
  <si>
    <t xml:space="preserve">The chain</t>
  </si>
  <si>
    <t xml:space="preserve">Bays live, total</t>
  </si>
  <si>
    <t xml:space="preserve">Clubs with bays</t>
  </si>
  <si>
    <t xml:space="preserve">Booked bay-hours</t>
  </si>
  <si>
    <t xml:space="preserve">Golf add-on memberships</t>
  </si>
  <si>
    <t xml:space="preserve">Revenue shared with Virgin Active</t>
  </si>
  <si>
    <t xml:space="preserve">People</t>
  </si>
  <si>
    <t xml:space="preserve">RMB interest</t>
  </si>
  <si>
    <t xml:space="preserve">RMB capital</t>
  </si>
  <si>
    <t xml:space="preserve">Debt cover (EBITDA ÷ debt service)</t>
  </si>
  <si>
    <t xml:space="preserve">Equity deposit (capex not financed by RMB)</t>
  </si>
  <si>
    <t xml:space="preserve">Cumulative cash after deposits</t>
  </si>
  <si>
    <t xml:space="preserve">Memo: to Virgin Active</t>
  </si>
  <si>
    <t xml:space="preserve">Equity needed (lowest point of cumulative cash)</t>
  </si>
  <si>
    <t xml:space="preserve">The chain, 2027 to 2032 — low case (fixed at the low multiplier)</t>
  </si>
  <si>
    <t xml:space="preserve">The chain, 2027 to 2032 — high case (fixed at the high multiplier)</t>
  </si>
  <si>
    <t xml:space="preserve">The two movable posts — 2031 outcome by Virgin Active's share and who builds the shell</t>
  </si>
  <si>
    <t xml:space="preserve">Computed from the selected-case chain: a different share moves the concession line; a shell cost carried by Get Lucky Golf moves capex, the RMB instalments, asset insurance and the equity deposit. Debt cover uses 2031 EBITDA over 2031 debt service.</t>
  </si>
  <si>
    <t xml:space="preserve">Shell built by</t>
  </si>
  <si>
    <t xml:space="preserve">Virgin Active share</t>
  </si>
  <si>
    <t xml:space="preserve">Get Lucky Golf EBITDA</t>
  </si>
  <si>
    <t xml:space="preserve">Equity needed</t>
  </si>
  <si>
    <t xml:space="preserve">Virgin Active</t>
  </si>
  <si>
    <t xml:space="preserve">Get Lucky Golf</t>
  </si>
  <si>
    <t xml:space="preserve">Opening position: 20% and Virgin Active builds the shell. Both posts move to make the deal fit. A bank's usual floor is 1.3× debt cover on the low case; run the selector on Assumptions at 0.7 to see it.</t>
  </si>
  <si>
    <t xml:space="preserve">Helper: cumulative cash after deposits by year, per combination</t>
  </si>
  <si>
    <t xml:space="preserve">Sources and status of each input</t>
  </si>
  <si>
    <t xml:space="preserve">Virgin Active clubs and members</t>
  </si>
  <si>
    <t xml:space="preserve">136 Southern African clubs, 623,000 members, 35% of group revenue: Virgin Active results to March 2026 as reported by IOL Business Report (13 Nov 2025) and Brait. Collection clubs: virginactive.co.za/memberships.</t>
  </si>
  <si>
    <t xml:space="preserve">Padel pricing</t>
  </si>
  <si>
    <t xml:space="preserve">About R400 an hour, R100 a player in a doubles game: Virgin Active padel pages and virginactivepadelclub.co.za.</t>
  </si>
  <si>
    <t xml:space="preserve">Simulator bay rates in South Africa</t>
  </si>
  <si>
    <t xml:space="preserve">Par 72 Pretoria R210 off-peak to R400 peak a bay-hour; Golf Bar R185 to R370; Golf Sim Centre Cape Town from R150 a person. Sept 2026.</t>
  </si>
  <si>
    <t xml:space="preserve">Golfzon hardware prices</t>
  </si>
  <si>
    <t xml:space="preserve">Golfzon commercial simulators published at $25,000 (TwoVision NX Standard) to $55,000–$90,000 a bay for commercial TwoVision NX (golfzongolf.com; rggolf.com 2026 comparison). Working assumptions until Golfzon quotes in October 2026.</t>
  </si>
  <si>
    <t xml:space="preserve">Golfzon bay footprint</t>
  </si>
  <si>
    <t xml:space="preserve">TwoVision NX: width 16 to 19 ft, length 15 ft 3 in plus 3 ft safety, height 10 ft 2 in minimum (golfzongolf.com plan-your-space). About 5.6 m × 5.5 m × 3.1 m, so a two-bay zone is about 60 m².</t>
  </si>
  <si>
    <t xml:space="preserve">Golfzon venue guidance</t>
  </si>
  <si>
    <t xml:space="preserve">$50 an hour, 10 booked hours a day, $150,000 to $175,000 a bay a year (golfzongolf.com, start a golf simulator business). The model runs at half the hours and a third of the rate.</t>
  </si>
  <si>
    <t xml:space="preserve">Prime rate</t>
  </si>
  <si>
    <t xml:space="preserve">10.5% (repo 7.0%), effective 28 May 2026, unchanged 23 July 2026. Next MPC 23 September 2026.</t>
  </si>
  <si>
    <t xml:space="preserve">The Point</t>
  </si>
  <si>
    <t xml:space="preserve">Virgin Active's Collection Country Club at Green Point opened 19 February 2026 with a TrackMan simulator (Virgin Active SA build series; launch coverage). Chiswick Riverside in London runs a Trackman iO.</t>
  </si>
  <si>
    <t xml:space="preserve">Insured shot economics</t>
  </si>
  <si>
    <t xml:space="preserve">Stake, prize and 24% premium per the Get Lucky investor model (investgetlucky data/model.json). Santam underwrites.</t>
  </si>
  <si>
    <t xml:space="preserve">Everything else</t>
  </si>
  <si>
    <t xml:space="preserve">Working assumptions by Get Lucky Golf, September 2026: utilisation, yields, add-on take-up, cost lines, RMB margin and structure, landed factor, ramp. Each is an input on Assumptions and is meant to be challenged.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</si>
</sst>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R#,##0;&quot;(R&quot;#,##0\);\-"/>
    <numFmt numFmtId="166" formatCode="0.0%;\(0.0%\);\-"/>
    <numFmt numFmtId="167" formatCode="0.00;\(0.00\);\-"/>
    <numFmt numFmtId="168" formatCode="0.00\×"/>
    <numFmt numFmtId="169" formatCode="#,##0;\(#,##0\);\-"/>
    <numFmt numFmtId="170" formatCode="\$#,##0"/>
    <numFmt numFmtId="171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33523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52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2"/>
      <c r="C4" s="2"/>
      <c r="D4" s="2"/>
    </row>
    <row r="5" customFormat="false" ht="15" hidden="false" customHeight="false" outlineLevel="0" collapsed="false">
      <c r="A5" s="2" t="s">
        <v>3</v>
      </c>
      <c r="B5" s="5" t="n">
        <f aca="false">Debt!D5+Debt!J5+Debt!P5</f>
        <v>179894000</v>
      </c>
      <c r="C5" s="2"/>
      <c r="D5" s="2"/>
    </row>
    <row r="6" customFormat="false" ht="15" hidden="false" customHeight="false" outlineLevel="0" collapsed="false">
      <c r="A6" s="2" t="s">
        <v>4</v>
      </c>
      <c r="B6" s="6" t="n">
        <f aca="false">B5*Assumptions!$B$18</f>
        <v>161904600</v>
      </c>
      <c r="C6" s="2"/>
      <c r="D6" s="2"/>
    </row>
    <row r="7" customFormat="false" ht="15" hidden="false" customHeight="false" outlineLevel="0" collapsed="false">
      <c r="A7" s="2" t="s">
        <v>5</v>
      </c>
      <c r="B7" s="6" t="n">
        <f aca="false">B5-B6</f>
        <v>17989400</v>
      </c>
      <c r="C7" s="2"/>
      <c r="D7" s="2"/>
    </row>
    <row r="8" customFormat="false" ht="15" hidden="false" customHeight="false" outlineLevel="0" collapsed="false">
      <c r="A8" s="2" t="s">
        <v>6</v>
      </c>
      <c r="B8" s="7" t="n">
        <f aca="false">Assumptions!$B$15</f>
        <v>0.12</v>
      </c>
      <c r="C8" s="2"/>
      <c r="D8" s="2"/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4" t="s">
        <v>7</v>
      </c>
      <c r="B10" s="2"/>
      <c r="C10" s="2"/>
      <c r="D10" s="2"/>
    </row>
    <row r="11" customFormat="false" ht="15" hidden="false" customHeight="false" outlineLevel="0" collapsed="false">
      <c r="A11" s="2"/>
      <c r="B11" s="8" t="s">
        <v>8</v>
      </c>
      <c r="C11" s="8" t="s">
        <v>9</v>
      </c>
      <c r="D11" s="8" t="s">
        <v>10</v>
      </c>
    </row>
    <row r="12" customFormat="false" ht="15" hidden="false" customHeight="false" outlineLevel="0" collapsed="false">
      <c r="A12" s="9" t="s">
        <v>11</v>
      </c>
      <c r="B12" s="10" t="n">
        <f aca="false">'Chain low'!F61</f>
        <v>3.549</v>
      </c>
      <c r="C12" s="10" t="n">
        <f aca="false">Chain!F61</f>
        <v>5.07</v>
      </c>
      <c r="D12" s="10" t="n">
        <f aca="false">'Chain high'!F61</f>
        <v>6.3375</v>
      </c>
    </row>
    <row r="13" customFormat="false" ht="15" hidden="false" customHeight="false" outlineLevel="0" collapsed="false">
      <c r="A13" s="9" t="s">
        <v>12</v>
      </c>
      <c r="B13" s="5" t="n">
        <f aca="false">'Chain low'!F68</f>
        <v>137727891.029412</v>
      </c>
      <c r="C13" s="5" t="n">
        <f aca="false">Chain!F68</f>
        <v>191182701.470588</v>
      </c>
      <c r="D13" s="5" t="n">
        <f aca="false">'Chain high'!F68</f>
        <v>235728376.838235</v>
      </c>
    </row>
    <row r="14" customFormat="false" ht="15" hidden="false" customHeight="false" outlineLevel="0" collapsed="false">
      <c r="A14" s="9" t="s">
        <v>13</v>
      </c>
      <c r="B14" s="5" t="n">
        <f aca="false">-'Chain low'!F69</f>
        <v>26545578.2058824</v>
      </c>
      <c r="C14" s="5" t="n">
        <f aca="false">-Chain!F69</f>
        <v>37236540.2941177</v>
      </c>
      <c r="D14" s="5" t="n">
        <f aca="false">-'Chain high'!F69</f>
        <v>46145675.3676471</v>
      </c>
    </row>
    <row r="15" customFormat="false" ht="15" hidden="false" customHeight="false" outlineLevel="0" collapsed="false">
      <c r="A15" s="9" t="s">
        <v>14</v>
      </c>
      <c r="B15" s="5" t="n">
        <f aca="false">'Chain low'!F77</f>
        <v>72843580.9963235</v>
      </c>
      <c r="C15" s="5" t="n">
        <f aca="false">Chain!F77</f>
        <v>111598318.566176</v>
      </c>
      <c r="D15" s="5" t="n">
        <f aca="false">'Chain high'!F77</f>
        <v>143893933.207721</v>
      </c>
    </row>
    <row r="16" customFormat="false" ht="15" hidden="false" customHeight="false" outlineLevel="0" collapsed="false">
      <c r="A16" s="9" t="s">
        <v>15</v>
      </c>
      <c r="B16" s="7" t="n">
        <f aca="false">'Chain low'!F78</f>
        <v>0.528894913382271</v>
      </c>
      <c r="C16" s="7" t="n">
        <f aca="false">Chain!F78</f>
        <v>0.583726025983292</v>
      </c>
      <c r="D16" s="7" t="n">
        <f aca="false">'Chain high'!F78</f>
        <v>0.610422619193044</v>
      </c>
    </row>
    <row r="17" customFormat="false" ht="15" hidden="false" customHeight="false" outlineLevel="0" collapsed="false">
      <c r="A17" s="9" t="s">
        <v>16</v>
      </c>
      <c r="B17" s="5" t="n">
        <f aca="false">-'Chain low'!F81</f>
        <v>43217740.8557394</v>
      </c>
      <c r="C17" s="5" t="n">
        <f aca="false">-Chain!F81</f>
        <v>43217740.8557394</v>
      </c>
      <c r="D17" s="5" t="n">
        <f aca="false">-'Chain high'!F81</f>
        <v>43217740.8557394</v>
      </c>
    </row>
    <row r="18" customFormat="false" ht="15" hidden="false" customHeight="false" outlineLevel="0" collapsed="false">
      <c r="A18" s="9" t="s">
        <v>17</v>
      </c>
      <c r="B18" s="11" t="n">
        <f aca="false">'Chain low'!F82</f>
        <v>1.68550182295449</v>
      </c>
      <c r="C18" s="11" t="n">
        <f aca="false">Chain!F82</f>
        <v>2.5822339705051</v>
      </c>
      <c r="D18" s="11" t="n">
        <f aca="false">'Chain high'!F82</f>
        <v>3.32951076013061</v>
      </c>
    </row>
    <row r="19" customFormat="false" ht="15" hidden="false" customHeight="false" outlineLevel="0" collapsed="false">
      <c r="A19" s="9" t="s">
        <v>18</v>
      </c>
      <c r="B19" s="5" t="n">
        <f aca="false">'Chain low'!F83</f>
        <v>29625840.1405842</v>
      </c>
      <c r="C19" s="5" t="n">
        <f aca="false">Chain!F83</f>
        <v>68380577.7104371</v>
      </c>
      <c r="D19" s="5" t="n">
        <f aca="false">'Chain high'!F83</f>
        <v>100676192.351981</v>
      </c>
    </row>
    <row r="20" customFormat="false" ht="15" hidden="false" customHeight="false" outlineLevel="0" collapsed="false">
      <c r="A20" s="12" t="s">
        <v>19</v>
      </c>
      <c r="B20" s="13" t="n">
        <f aca="false">'Chain low'!B89</f>
        <v>24806588.7782954</v>
      </c>
      <c r="C20" s="13" t="n">
        <f aca="false">Chain!B89</f>
        <v>8786747.54411764</v>
      </c>
      <c r="D20" s="13" t="n">
        <f aca="false">'Chain high'!B89</f>
        <v>6266344.43014706</v>
      </c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4" t="s">
        <v>20</v>
      </c>
      <c r="B22" s="2"/>
      <c r="C22" s="2"/>
      <c r="D22" s="2"/>
    </row>
    <row r="23" customFormat="false" ht="15" hidden="false" customHeight="false" outlineLevel="0" collapsed="false">
      <c r="A23" s="2"/>
      <c r="B23" s="8" t="s">
        <v>21</v>
      </c>
      <c r="C23" s="8" t="s">
        <v>22</v>
      </c>
      <c r="D23" s="8" t="s">
        <v>23</v>
      </c>
    </row>
    <row r="24" customFormat="false" ht="15" hidden="false" customHeight="false" outlineLevel="0" collapsed="false">
      <c r="A24" s="9" t="s">
        <v>24</v>
      </c>
      <c r="B24" s="5" t="n">
        <f aca="false">'Unit economics'!B6</f>
        <v>1443000</v>
      </c>
      <c r="C24" s="5" t="n">
        <f aca="false">'Unit economics'!C6</f>
        <v>841750</v>
      </c>
      <c r="D24" s="5" t="n">
        <f aca="false">'Unit economics'!D6</f>
        <v>529100</v>
      </c>
    </row>
    <row r="25" customFormat="false" ht="15" hidden="false" customHeight="false" outlineLevel="0" collapsed="false">
      <c r="A25" s="9" t="s">
        <v>25</v>
      </c>
      <c r="B25" s="10" t="n">
        <f aca="false">'Unit economics'!B9</f>
        <v>6</v>
      </c>
      <c r="C25" s="10" t="n">
        <f aca="false">'Unit economics'!C9</f>
        <v>4.95</v>
      </c>
      <c r="D25" s="10" t="n">
        <f aca="false">'Unit economics'!D9</f>
        <v>4.5</v>
      </c>
    </row>
    <row r="26" customFormat="false" ht="15" hidden="false" customHeight="false" outlineLevel="0" collapsed="false">
      <c r="A26" s="9" t="s">
        <v>12</v>
      </c>
      <c r="B26" s="5" t="n">
        <f aca="false">'Unit economics'!B16</f>
        <v>1399753.00735294</v>
      </c>
      <c r="C26" s="5" t="n">
        <f aca="false">'Unit economics'!C16</f>
        <v>909095.507352941</v>
      </c>
      <c r="D26" s="5" t="n">
        <f aca="false">'Unit economics'!D16</f>
        <v>652528.007352941</v>
      </c>
    </row>
    <row r="27" customFormat="false" ht="15" hidden="false" customHeight="false" outlineLevel="0" collapsed="false">
      <c r="A27" s="9" t="s">
        <v>13</v>
      </c>
      <c r="B27" s="5" t="n">
        <f aca="false">'Unit economics'!B29</f>
        <v>274950.601470588</v>
      </c>
      <c r="C27" s="5" t="n">
        <f aca="false">'Unit economics'!C29</f>
        <v>176819.101470588</v>
      </c>
      <c r="D27" s="5" t="n">
        <f aca="false">'Unit economics'!D29</f>
        <v>125505.601470588</v>
      </c>
    </row>
    <row r="28" customFormat="false" ht="15" hidden="false" customHeight="false" outlineLevel="0" collapsed="false">
      <c r="A28" s="9" t="s">
        <v>14</v>
      </c>
      <c r="B28" s="5" t="n">
        <f aca="false">'Unit economics'!B24</f>
        <v>857615.930330882</v>
      </c>
      <c r="C28" s="5" t="n">
        <f aca="false">'Unit economics'!C24</f>
        <v>526401.742830882</v>
      </c>
      <c r="D28" s="5" t="n">
        <f aca="false">'Unit economics'!D24</f>
        <v>353136.805330882</v>
      </c>
    </row>
    <row r="29" customFormat="false" ht="15" hidden="false" customHeight="false" outlineLevel="0" collapsed="false">
      <c r="A29" s="9" t="s">
        <v>15</v>
      </c>
      <c r="B29" s="7" t="n">
        <f aca="false">'Unit economics'!B25</f>
        <v>0.612690900341562</v>
      </c>
      <c r="C29" s="7" t="n">
        <f aca="false">'Unit economics'!C25</f>
        <v>0.579038988283676</v>
      </c>
      <c r="D29" s="7" t="n">
        <f aca="false">'Unit economics'!D25</f>
        <v>0.541182602664711</v>
      </c>
    </row>
    <row r="30" customFormat="false" ht="15" hidden="false" customHeight="false" outlineLevel="0" collapsed="false">
      <c r="A30" s="9" t="s">
        <v>26</v>
      </c>
      <c r="B30" s="10" t="n">
        <f aca="false">'Unit economics'!B28</f>
        <v>1.6825713573712</v>
      </c>
      <c r="C30" s="10" t="n">
        <f aca="false">'Unit economics'!C28</f>
        <v>1.5990638546773</v>
      </c>
      <c r="D30" s="10" t="n">
        <f aca="false">'Unit economics'!D28</f>
        <v>1.49828619394187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8" min="4" style="0" width="14"/>
  </cols>
  <sheetData>
    <row r="1" customFormat="false" ht="17.35" hidden="false" customHeight="false" outlineLevel="0" collapsed="false">
      <c r="A1" s="1" t="s">
        <v>27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4" t="s">
        <v>29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9" t="s">
        <v>30</v>
      </c>
      <c r="B6" s="14" t="n">
        <v>1</v>
      </c>
      <c r="C6" s="15" t="s">
        <v>31</v>
      </c>
      <c r="D6" s="2"/>
      <c r="E6" s="2"/>
      <c r="F6" s="2"/>
      <c r="G6" s="2"/>
    </row>
    <row r="7" customFormat="false" ht="15" hidden="false" customHeight="false" outlineLevel="0" collapsed="false">
      <c r="A7" s="9" t="s">
        <v>32</v>
      </c>
      <c r="B7" s="16" t="n">
        <v>0.7</v>
      </c>
      <c r="C7" s="15" t="s">
        <v>33</v>
      </c>
      <c r="D7" s="2"/>
      <c r="E7" s="2"/>
      <c r="F7" s="2"/>
      <c r="G7" s="2"/>
    </row>
    <row r="8" customFormat="false" ht="15" hidden="false" customHeight="false" outlineLevel="0" collapsed="false">
      <c r="A8" s="9" t="s">
        <v>34</v>
      </c>
      <c r="B8" s="16" t="n">
        <v>1</v>
      </c>
      <c r="C8" s="2"/>
      <c r="D8" s="2"/>
      <c r="E8" s="2"/>
      <c r="F8" s="2"/>
      <c r="G8" s="2"/>
    </row>
    <row r="9" customFormat="false" ht="15" hidden="false" customHeight="false" outlineLevel="0" collapsed="false">
      <c r="A9" s="9" t="s">
        <v>35</v>
      </c>
      <c r="B9" s="16" t="n">
        <v>1.25</v>
      </c>
      <c r="C9" s="15" t="s">
        <v>36</v>
      </c>
      <c r="D9" s="2"/>
      <c r="E9" s="2"/>
      <c r="F9" s="2"/>
      <c r="G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4" t="s">
        <v>37</v>
      </c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9" t="s">
        <v>38</v>
      </c>
      <c r="B12" s="16" t="n">
        <v>18.5</v>
      </c>
      <c r="C12" s="15" t="s">
        <v>39</v>
      </c>
      <c r="D12" s="2"/>
      <c r="E12" s="2"/>
      <c r="F12" s="2"/>
      <c r="G12" s="2"/>
    </row>
    <row r="13" customFormat="false" ht="15" hidden="false" customHeight="false" outlineLevel="0" collapsed="false">
      <c r="A13" s="9" t="s">
        <v>40</v>
      </c>
      <c r="B13" s="17" t="n">
        <v>0.105</v>
      </c>
      <c r="C13" s="15" t="s">
        <v>41</v>
      </c>
      <c r="D13" s="2"/>
      <c r="E13" s="2"/>
      <c r="F13" s="2"/>
      <c r="G13" s="2"/>
    </row>
    <row r="14" customFormat="false" ht="15" hidden="false" customHeight="false" outlineLevel="0" collapsed="false">
      <c r="A14" s="9" t="s">
        <v>42</v>
      </c>
      <c r="B14" s="17" t="n">
        <v>0.015</v>
      </c>
      <c r="C14" s="15" t="s">
        <v>43</v>
      </c>
      <c r="D14" s="2"/>
      <c r="E14" s="2"/>
      <c r="F14" s="2"/>
      <c r="G14" s="2"/>
    </row>
    <row r="15" customFormat="false" ht="15" hidden="false" customHeight="false" outlineLevel="0" collapsed="false">
      <c r="A15" s="9" t="s">
        <v>6</v>
      </c>
      <c r="B15" s="18" t="n">
        <f aca="false">Assumptions!$B$13+Assumptions!$B$14</f>
        <v>0.12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9" t="s">
        <v>44</v>
      </c>
      <c r="B16" s="19" t="n">
        <v>12</v>
      </c>
      <c r="C16" s="15" t="s">
        <v>45</v>
      </c>
      <c r="D16" s="2"/>
      <c r="E16" s="2"/>
      <c r="F16" s="2"/>
      <c r="G16" s="2"/>
    </row>
    <row r="17" customFormat="false" ht="15" hidden="false" customHeight="false" outlineLevel="0" collapsed="false">
      <c r="A17" s="9" t="s">
        <v>46</v>
      </c>
      <c r="B17" s="19" t="n">
        <v>60</v>
      </c>
      <c r="C17" s="2"/>
      <c r="D17" s="2"/>
      <c r="E17" s="2"/>
      <c r="F17" s="2"/>
      <c r="G17" s="2"/>
    </row>
    <row r="18" customFormat="false" ht="15" hidden="false" customHeight="false" outlineLevel="0" collapsed="false">
      <c r="A18" s="9" t="s">
        <v>47</v>
      </c>
      <c r="B18" s="17" t="n">
        <v>0.9</v>
      </c>
      <c r="C18" s="15" t="s">
        <v>48</v>
      </c>
      <c r="D18" s="2"/>
      <c r="E18" s="2"/>
      <c r="F18" s="2"/>
      <c r="G18" s="2"/>
    </row>
    <row r="19" customFormat="false" ht="15" hidden="false" customHeight="false" outlineLevel="0" collapsed="false">
      <c r="A19" s="9" t="s">
        <v>49</v>
      </c>
      <c r="B19" s="16" t="n">
        <v>1.3</v>
      </c>
      <c r="C19" s="15" t="s">
        <v>50</v>
      </c>
      <c r="D19" s="2"/>
      <c r="E19" s="2"/>
      <c r="F19" s="2"/>
      <c r="G19" s="2"/>
    </row>
    <row r="20" customFormat="false" ht="15" hidden="false" customHeight="false" outlineLevel="0" collapsed="false">
      <c r="A20" s="9" t="s">
        <v>51</v>
      </c>
      <c r="B20" s="20" t="n">
        <v>0</v>
      </c>
      <c r="C20" s="15" t="s">
        <v>52</v>
      </c>
      <c r="D20" s="2"/>
      <c r="E20" s="2"/>
      <c r="F20" s="2"/>
      <c r="G20" s="2"/>
    </row>
    <row r="21" customFormat="false" ht="15" hidden="false" customHeight="false" outlineLevel="0" collapsed="false">
      <c r="A21" s="9" t="s">
        <v>53</v>
      </c>
      <c r="B21" s="20" t="n">
        <v>150000</v>
      </c>
      <c r="C21" s="2"/>
      <c r="D21" s="2"/>
      <c r="E21" s="2"/>
      <c r="F21" s="2"/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4" t="s">
        <v>54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9" t="s">
        <v>55</v>
      </c>
      <c r="B24" s="17" t="n">
        <v>0.2</v>
      </c>
      <c r="C24" s="15" t="s">
        <v>56</v>
      </c>
      <c r="D24" s="2"/>
      <c r="E24" s="2"/>
      <c r="F24" s="2"/>
      <c r="G24" s="2"/>
    </row>
    <row r="25" customFormat="false" ht="15" hidden="false" customHeight="false" outlineLevel="0" collapsed="false">
      <c r="A25" s="9" t="s">
        <v>57</v>
      </c>
      <c r="B25" s="19" t="n">
        <v>15</v>
      </c>
      <c r="C25" s="15" t="s">
        <v>58</v>
      </c>
      <c r="D25" s="2"/>
      <c r="E25" s="2"/>
      <c r="F25" s="2"/>
      <c r="G25" s="2"/>
    </row>
    <row r="26" customFormat="false" ht="15" hidden="false" customHeight="false" outlineLevel="0" collapsed="false">
      <c r="A26" s="9" t="s">
        <v>59</v>
      </c>
      <c r="B26" s="19" t="n">
        <v>360</v>
      </c>
      <c r="C26" s="2"/>
      <c r="D26" s="2"/>
      <c r="E26" s="2"/>
      <c r="F26" s="2"/>
      <c r="G26" s="2"/>
    </row>
    <row r="27" customFormat="false" ht="15" hidden="false" customHeight="false" outlineLevel="0" collapsed="false">
      <c r="A27" s="9" t="s">
        <v>60</v>
      </c>
      <c r="B27" s="21" t="n">
        <f aca="false">Assumptions!$B$25*Assumptions!$B$26</f>
        <v>5400</v>
      </c>
      <c r="C27" s="2"/>
      <c r="D27" s="2"/>
      <c r="E27" s="2"/>
      <c r="F27" s="2"/>
      <c r="G27" s="2"/>
    </row>
    <row r="28" customFormat="false" ht="15" hidden="false" customHeight="false" outlineLevel="0" collapsed="false">
      <c r="A28" s="9" t="s">
        <v>61</v>
      </c>
      <c r="B28" s="17" t="n">
        <v>0.85</v>
      </c>
      <c r="C28" s="15" t="s">
        <v>62</v>
      </c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  <row r="30" customFormat="false" ht="15" hidden="false" customHeight="false" outlineLevel="0" collapsed="false">
      <c r="A30" s="4" t="s">
        <v>63</v>
      </c>
      <c r="B30" s="2"/>
      <c r="C30" s="2"/>
      <c r="D30" s="2"/>
      <c r="E30" s="2"/>
      <c r="F30" s="2"/>
      <c r="G30" s="2"/>
    </row>
    <row r="31" customFormat="false" ht="15" hidden="false" customHeight="false" outlineLevel="0" collapsed="false">
      <c r="A31" s="9" t="s">
        <v>64</v>
      </c>
      <c r="B31" s="19" t="n">
        <v>623000</v>
      </c>
      <c r="C31" s="15" t="s">
        <v>65</v>
      </c>
      <c r="D31" s="2"/>
      <c r="E31" s="2"/>
      <c r="F31" s="2"/>
      <c r="G31" s="2"/>
    </row>
    <row r="32" customFormat="false" ht="15" hidden="false" customHeight="false" outlineLevel="0" collapsed="false">
      <c r="A32" s="9" t="s">
        <v>66</v>
      </c>
      <c r="B32" s="19" t="n">
        <v>136</v>
      </c>
      <c r="C32" s="15" t="s">
        <v>67</v>
      </c>
      <c r="D32" s="2"/>
      <c r="E32" s="2"/>
      <c r="F32" s="2"/>
      <c r="G32" s="2"/>
    </row>
    <row r="33" customFormat="false" ht="15" hidden="false" customHeight="false" outlineLevel="0" collapsed="false">
      <c r="A33" s="9" t="s">
        <v>68</v>
      </c>
      <c r="B33" s="21" t="n">
        <f aca="false">Assumptions!$B$31/Assumptions!$B$32</f>
        <v>4580.88235294118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A34" s="9" t="s">
        <v>69</v>
      </c>
      <c r="B34" s="20" t="n">
        <v>299</v>
      </c>
      <c r="C34" s="15" t="s">
        <v>70</v>
      </c>
      <c r="D34" s="2"/>
      <c r="E34" s="2"/>
      <c r="F34" s="2"/>
      <c r="G34" s="2"/>
    </row>
    <row r="35" customFormat="false" ht="15" hidden="false" customHeight="false" outlineLevel="0" collapsed="false">
      <c r="A35" s="9" t="s">
        <v>71</v>
      </c>
      <c r="B35" s="17" t="n">
        <v>0.015</v>
      </c>
      <c r="C35" s="15" t="s">
        <v>72</v>
      </c>
      <c r="D35" s="2"/>
      <c r="E35" s="2"/>
      <c r="F35" s="2"/>
      <c r="G35" s="2"/>
    </row>
    <row r="36" customFormat="false" ht="15" hidden="false" customHeight="false" outlineLevel="0" collapsed="false">
      <c r="A36" s="9" t="s">
        <v>73</v>
      </c>
      <c r="B36" s="17" t="n">
        <v>0.4</v>
      </c>
      <c r="C36" s="15" t="s">
        <v>74</v>
      </c>
      <c r="D36" s="2"/>
      <c r="E36" s="2"/>
      <c r="F36" s="2"/>
      <c r="G36" s="2"/>
    </row>
    <row r="37" customFormat="false" ht="15" hidden="false" customHeight="false" outlineLevel="0" collapsed="false">
      <c r="A37" s="9" t="s">
        <v>75</v>
      </c>
      <c r="B37" s="17" t="n">
        <v>0.75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</row>
    <row r="39" customFormat="false" ht="15" hidden="false" customHeight="false" outlineLevel="0" collapsed="false">
      <c r="A39" s="4" t="s">
        <v>76</v>
      </c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9" t="s">
        <v>77</v>
      </c>
      <c r="B40" s="20" t="n">
        <v>40000</v>
      </c>
      <c r="C40" s="15" t="s">
        <v>78</v>
      </c>
      <c r="D40" s="2"/>
      <c r="E40" s="2"/>
      <c r="F40" s="2"/>
      <c r="G40" s="2"/>
    </row>
    <row r="41" customFormat="false" ht="15" hidden="false" customHeight="false" outlineLevel="0" collapsed="false">
      <c r="A41" s="9" t="s">
        <v>79</v>
      </c>
      <c r="B41" s="20" t="n">
        <v>25000</v>
      </c>
      <c r="C41" s="15" t="s">
        <v>80</v>
      </c>
      <c r="D41" s="2"/>
      <c r="E41" s="2"/>
      <c r="F41" s="2"/>
      <c r="G41" s="2"/>
    </row>
    <row r="42" customFormat="false" ht="15" hidden="false" customHeight="false" outlineLevel="0" collapsed="false">
      <c r="A42" s="9" t="s">
        <v>81</v>
      </c>
      <c r="B42" s="20" t="n">
        <v>50</v>
      </c>
      <c r="C42" s="15" t="s">
        <v>82</v>
      </c>
      <c r="D42" s="2"/>
      <c r="E42" s="2"/>
      <c r="F42" s="2"/>
      <c r="G42" s="2"/>
    </row>
    <row r="43" customFormat="false" ht="15" hidden="false" customHeight="false" outlineLevel="0" collapsed="false">
      <c r="A43" s="9" t="s">
        <v>83</v>
      </c>
      <c r="B43" s="16" t="n">
        <v>0.625</v>
      </c>
      <c r="C43" s="15" t="s">
        <v>84</v>
      </c>
      <c r="D43" s="2"/>
      <c r="E43" s="2"/>
      <c r="F43" s="2"/>
      <c r="G43" s="2"/>
    </row>
    <row r="44" customFormat="false" ht="15" hidden="false" customHeight="false" outlineLevel="0" collapsed="false">
      <c r="A44" s="9" t="s">
        <v>85</v>
      </c>
      <c r="B44" s="17" t="n">
        <v>0.24</v>
      </c>
      <c r="C44" s="15" t="s">
        <v>86</v>
      </c>
      <c r="D44" s="2"/>
      <c r="E44" s="2"/>
      <c r="F44" s="2"/>
      <c r="G44" s="2"/>
    </row>
    <row r="45" customFormat="false" ht="15" hidden="false" customHeight="false" outlineLevel="0" collapsed="false">
      <c r="A45" s="9" t="s">
        <v>87</v>
      </c>
      <c r="B45" s="22" t="n">
        <f aca="false">Assumptions!$B$42*Assumptions!$B$43*(1-Assumptions!$B$44)</f>
        <v>23.75</v>
      </c>
      <c r="C45" s="2"/>
      <c r="D45" s="2"/>
      <c r="E45" s="2"/>
      <c r="F45" s="2"/>
      <c r="G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</row>
    <row r="47" customFormat="false" ht="15" hidden="false" customHeight="false" outlineLevel="0" collapsed="false">
      <c r="A47" s="4" t="s">
        <v>88</v>
      </c>
      <c r="B47" s="2"/>
      <c r="C47" s="2"/>
      <c r="D47" s="2"/>
      <c r="E47" s="2"/>
      <c r="F47" s="2"/>
      <c r="G47" s="2"/>
    </row>
    <row r="48" customFormat="false" ht="15" hidden="false" customHeight="false" outlineLevel="0" collapsed="false">
      <c r="A48" s="9" t="s">
        <v>89</v>
      </c>
      <c r="B48" s="17" t="n">
        <v>0.025</v>
      </c>
      <c r="C48" s="2"/>
      <c r="D48" s="2"/>
      <c r="E48" s="2"/>
      <c r="F48" s="2"/>
      <c r="G48" s="2"/>
    </row>
    <row r="49" customFormat="false" ht="15" hidden="false" customHeight="false" outlineLevel="0" collapsed="false">
      <c r="A49" s="9" t="s">
        <v>90</v>
      </c>
      <c r="B49" s="17" t="n">
        <v>0.05</v>
      </c>
      <c r="C49" s="2"/>
      <c r="D49" s="2"/>
      <c r="E49" s="2"/>
      <c r="F49" s="2"/>
      <c r="G49" s="2"/>
    </row>
    <row r="50" customFormat="false" ht="15" hidden="false" customHeight="false" outlineLevel="0" collapsed="false">
      <c r="A50" s="9" t="s">
        <v>91</v>
      </c>
      <c r="B50" s="17" t="n">
        <v>0.01</v>
      </c>
      <c r="C50" s="2"/>
      <c r="D50" s="2"/>
      <c r="E50" s="2"/>
      <c r="F50" s="2"/>
      <c r="G50" s="2"/>
    </row>
    <row r="51" customFormat="false" ht="15" hidden="false" customHeight="false" outlineLevel="0" collapsed="false">
      <c r="A51" s="9" t="s">
        <v>92</v>
      </c>
      <c r="B51" s="17" t="n">
        <v>0.04</v>
      </c>
      <c r="C51" s="15" t="s">
        <v>93</v>
      </c>
      <c r="D51" s="2"/>
      <c r="E51" s="2"/>
      <c r="F51" s="2"/>
      <c r="G51" s="2"/>
    </row>
    <row r="52" customFormat="false" ht="15" hidden="false" customHeight="false" outlineLevel="0" collapsed="false">
      <c r="A52" s="9" t="s">
        <v>94</v>
      </c>
      <c r="B52" s="20" t="n">
        <v>24000</v>
      </c>
      <c r="C52" s="15" t="s">
        <v>95</v>
      </c>
      <c r="D52" s="2"/>
      <c r="E52" s="2"/>
      <c r="F52" s="2"/>
      <c r="G52" s="2"/>
    </row>
    <row r="53" customFormat="false" ht="15" hidden="false" customHeight="false" outlineLevel="0" collapsed="false">
      <c r="A53" s="9" t="s">
        <v>96</v>
      </c>
      <c r="B53" s="23" t="n">
        <f aca="false">16000000/200</f>
        <v>80000</v>
      </c>
      <c r="C53" s="15" t="s">
        <v>97</v>
      </c>
      <c r="D53" s="2"/>
      <c r="E53" s="2"/>
      <c r="F53" s="2"/>
      <c r="G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</row>
    <row r="55" customFormat="false" ht="15" hidden="false" customHeight="false" outlineLevel="0" collapsed="false">
      <c r="A55" s="4" t="s">
        <v>98</v>
      </c>
      <c r="B55" s="2"/>
      <c r="C55" s="2"/>
      <c r="D55" s="2"/>
      <c r="E55" s="2"/>
      <c r="F55" s="2"/>
      <c r="G55" s="2"/>
    </row>
    <row r="56" customFormat="false" ht="15" hidden="false" customHeight="false" outlineLevel="0" collapsed="false">
      <c r="A56" s="9" t="s">
        <v>99</v>
      </c>
      <c r="B56" s="17" t="n">
        <v>0.55</v>
      </c>
      <c r="C56" s="2"/>
      <c r="D56" s="2"/>
      <c r="E56" s="2"/>
      <c r="F56" s="2"/>
      <c r="G56" s="2"/>
    </row>
    <row r="57" customFormat="false" ht="15" hidden="false" customHeight="false" outlineLevel="0" collapsed="false">
      <c r="A57" s="9" t="s">
        <v>100</v>
      </c>
      <c r="B57" s="17" t="n">
        <v>0.8</v>
      </c>
      <c r="C57" s="2"/>
      <c r="D57" s="2"/>
      <c r="E57" s="2"/>
      <c r="F57" s="2"/>
      <c r="G57" s="2"/>
    </row>
    <row r="58" customFormat="false" ht="15" hidden="false" customHeight="false" outlineLevel="0" collapsed="false">
      <c r="A58" s="9" t="s">
        <v>101</v>
      </c>
      <c r="B58" s="19" t="n">
        <v>7</v>
      </c>
      <c r="C58" s="2"/>
      <c r="D58" s="2"/>
      <c r="E58" s="2"/>
      <c r="F58" s="2"/>
      <c r="G58" s="2"/>
    </row>
    <row r="59" customFormat="false" ht="15" hidden="false" customHeight="false" outlineLevel="0" collapsed="false">
      <c r="A59" s="9" t="s">
        <v>102</v>
      </c>
      <c r="B59" s="17" t="n">
        <v>0.27</v>
      </c>
      <c r="C59" s="15" t="s">
        <v>103</v>
      </c>
      <c r="D59" s="2"/>
      <c r="E59" s="2"/>
      <c r="F59" s="2"/>
      <c r="G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</row>
    <row r="61" customFormat="false" ht="15" hidden="false" customHeight="false" outlineLevel="0" collapsed="false">
      <c r="A61" s="4" t="s">
        <v>104</v>
      </c>
      <c r="B61" s="2"/>
      <c r="C61" s="2"/>
      <c r="D61" s="2"/>
      <c r="E61" s="2"/>
      <c r="F61" s="2"/>
      <c r="G61" s="2"/>
    </row>
    <row r="62" customFormat="false" ht="15" hidden="false" customHeight="false" outlineLevel="0" collapsed="false">
      <c r="A62" s="8" t="s">
        <v>105</v>
      </c>
      <c r="B62" s="8" t="s">
        <v>106</v>
      </c>
      <c r="C62" s="8" t="s">
        <v>107</v>
      </c>
      <c r="D62" s="8" t="s">
        <v>108</v>
      </c>
      <c r="E62" s="8" t="s">
        <v>109</v>
      </c>
      <c r="F62" s="8" t="s">
        <v>110</v>
      </c>
      <c r="G62" s="2"/>
    </row>
    <row r="63" customFormat="false" ht="15" hidden="false" customHeight="false" outlineLevel="0" collapsed="false">
      <c r="A63" s="9" t="s">
        <v>21</v>
      </c>
      <c r="B63" s="24" t="n">
        <v>60000</v>
      </c>
      <c r="C63" s="17" t="n">
        <v>0.4</v>
      </c>
      <c r="D63" s="20" t="n">
        <v>520</v>
      </c>
      <c r="E63" s="19" t="n">
        <v>40</v>
      </c>
      <c r="F63" s="15" t="s">
        <v>111</v>
      </c>
      <c r="G63" s="2"/>
    </row>
    <row r="64" customFormat="false" ht="15" hidden="false" customHeight="false" outlineLevel="0" collapsed="false">
      <c r="A64" s="9" t="s">
        <v>22</v>
      </c>
      <c r="B64" s="24" t="n">
        <v>35000</v>
      </c>
      <c r="C64" s="17" t="n">
        <v>0.33</v>
      </c>
      <c r="D64" s="20" t="n">
        <v>360</v>
      </c>
      <c r="E64" s="19" t="n">
        <v>120</v>
      </c>
      <c r="F64" s="15" t="s">
        <v>112</v>
      </c>
      <c r="G64" s="2"/>
    </row>
    <row r="65" customFormat="false" ht="15" hidden="false" customHeight="false" outlineLevel="0" collapsed="false">
      <c r="A65" s="9" t="s">
        <v>23</v>
      </c>
      <c r="B65" s="24" t="n">
        <v>22000</v>
      </c>
      <c r="C65" s="17" t="n">
        <v>0.3</v>
      </c>
      <c r="D65" s="20" t="n">
        <v>240</v>
      </c>
      <c r="E65" s="19" t="n">
        <v>40</v>
      </c>
      <c r="F65" s="15" t="s">
        <v>113</v>
      </c>
      <c r="G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</row>
    <row r="67" customFormat="false" ht="15" hidden="false" customHeight="false" outlineLevel="0" collapsed="false">
      <c r="A67" s="4" t="s">
        <v>114</v>
      </c>
      <c r="B67" s="2"/>
      <c r="C67" s="2"/>
      <c r="D67" s="2"/>
      <c r="E67" s="2"/>
      <c r="F67" s="2"/>
      <c r="G67" s="2"/>
    </row>
    <row r="68" customFormat="false" ht="15" hidden="false" customHeight="false" outlineLevel="0" collapsed="false">
      <c r="A68" s="8" t="s">
        <v>115</v>
      </c>
      <c r="B68" s="8" t="s">
        <v>116</v>
      </c>
      <c r="C68" s="8" t="s">
        <v>117</v>
      </c>
      <c r="D68" s="8" t="s">
        <v>118</v>
      </c>
      <c r="E68" s="8" t="s">
        <v>119</v>
      </c>
      <c r="F68" s="8" t="s">
        <v>120</v>
      </c>
      <c r="G68" s="8" t="s">
        <v>121</v>
      </c>
    </row>
    <row r="69" customFormat="false" ht="15" hidden="false" customHeight="false" outlineLevel="0" collapsed="false">
      <c r="A69" s="9" t="s">
        <v>122</v>
      </c>
      <c r="B69" s="25" t="n">
        <v>2027</v>
      </c>
      <c r="C69" s="17" t="n">
        <v>0.5</v>
      </c>
      <c r="D69" s="19" t="n">
        <v>40</v>
      </c>
      <c r="E69" s="19" t="n">
        <v>0</v>
      </c>
      <c r="F69" s="19" t="n">
        <v>0</v>
      </c>
      <c r="G69" s="19" t="n">
        <v>20</v>
      </c>
    </row>
    <row r="70" customFormat="false" ht="15" hidden="false" customHeight="false" outlineLevel="0" collapsed="false">
      <c r="A70" s="9" t="s">
        <v>123</v>
      </c>
      <c r="B70" s="25" t="n">
        <v>2028</v>
      </c>
      <c r="C70" s="17" t="n">
        <v>0.5</v>
      </c>
      <c r="D70" s="19" t="n">
        <v>0</v>
      </c>
      <c r="E70" s="19" t="n">
        <v>100</v>
      </c>
      <c r="F70" s="19" t="n">
        <v>0</v>
      </c>
      <c r="G70" s="19" t="n">
        <v>50</v>
      </c>
    </row>
    <row r="71" customFormat="false" ht="15" hidden="false" customHeight="false" outlineLevel="0" collapsed="false">
      <c r="A71" s="9" t="s">
        <v>124</v>
      </c>
      <c r="B71" s="25" t="n">
        <v>2029</v>
      </c>
      <c r="C71" s="17" t="n">
        <v>0.6</v>
      </c>
      <c r="D71" s="19" t="n">
        <v>0</v>
      </c>
      <c r="E71" s="19" t="n">
        <v>20</v>
      </c>
      <c r="F71" s="19" t="n">
        <v>40</v>
      </c>
      <c r="G71" s="19" t="n">
        <v>60</v>
      </c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</row>
    <row r="73" customFormat="false" ht="15" hidden="false" customHeight="false" outlineLevel="0" collapsed="false">
      <c r="A73" s="4" t="s">
        <v>125</v>
      </c>
      <c r="B73" s="2"/>
      <c r="C73" s="2"/>
      <c r="D73" s="2"/>
      <c r="E73" s="2"/>
      <c r="F73" s="2"/>
      <c r="G73" s="2"/>
    </row>
    <row r="74" customFormat="false" ht="15" hidden="false" customHeight="false" outlineLevel="0" collapsed="false">
      <c r="A74" s="12" t="s">
        <v>126</v>
      </c>
      <c r="B74" s="8" t="s">
        <v>127</v>
      </c>
      <c r="C74" s="8" t="s">
        <v>128</v>
      </c>
      <c r="D74" s="8" t="s">
        <v>129</v>
      </c>
      <c r="E74" s="8" t="s">
        <v>130</v>
      </c>
      <c r="F74" s="8" t="s">
        <v>131</v>
      </c>
      <c r="G74" s="8" t="s">
        <v>132</v>
      </c>
    </row>
    <row r="75" customFormat="false" ht="15" hidden="false" customHeight="false" outlineLevel="0" collapsed="false">
      <c r="A75" s="9" t="s">
        <v>133</v>
      </c>
      <c r="B75" s="20" t="n">
        <v>4000000</v>
      </c>
      <c r="C75" s="20" t="n">
        <v>8000000</v>
      </c>
      <c r="D75" s="20" t="n">
        <v>11000000</v>
      </c>
      <c r="E75" s="20" t="n">
        <v>12000000</v>
      </c>
      <c r="F75" s="20" t="n">
        <v>12000000</v>
      </c>
      <c r="G75" s="20" t="n">
        <v>12000000</v>
      </c>
    </row>
    <row r="76" customFormat="false" ht="15" hidden="false" customHeight="false" outlineLevel="0" collapsed="false">
      <c r="A76" s="9" t="s">
        <v>134</v>
      </c>
      <c r="B76" s="20" t="n">
        <v>2000000</v>
      </c>
      <c r="C76" s="20" t="n">
        <v>3000000</v>
      </c>
      <c r="D76" s="20" t="n">
        <v>4000000</v>
      </c>
      <c r="E76" s="20" t="n">
        <v>4000000</v>
      </c>
      <c r="F76" s="20" t="n">
        <v>4000000</v>
      </c>
      <c r="G76" s="20" t="n">
        <v>4000000</v>
      </c>
    </row>
  </sheetData>
  <dataValidations count="1">
    <dataValidation allowBlank="false" errorStyle="stop" operator="between" showDropDown="false" showErrorMessage="false" showInputMessage="false" sqref="B6" type="list">
      <formula1>"0.7,1,1.25"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135</v>
      </c>
      <c r="B1" s="2"/>
      <c r="C1" s="2"/>
      <c r="D1" s="2"/>
    </row>
    <row r="2" customFormat="false" ht="15" hidden="false" customHeight="false" outlineLevel="0" collapsed="false">
      <c r="A2" s="3" t="s">
        <v>136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26"/>
      <c r="B4" s="8" t="s">
        <v>21</v>
      </c>
      <c r="C4" s="8" t="s">
        <v>22</v>
      </c>
      <c r="D4" s="8" t="s">
        <v>23</v>
      </c>
    </row>
    <row r="5" customFormat="false" ht="15" hidden="false" customHeight="false" outlineLevel="0" collapsed="false">
      <c r="A5" s="9" t="s">
        <v>137</v>
      </c>
      <c r="B5" s="23" t="n">
        <f aca="false">Assumptions!$B$63*Assumptions!$B$12</f>
        <v>1110000</v>
      </c>
      <c r="C5" s="23" t="n">
        <f aca="false">Assumptions!$B$64*Assumptions!$B$12</f>
        <v>647500</v>
      </c>
      <c r="D5" s="23" t="n">
        <f aca="false">Assumptions!$B$65*Assumptions!$B$12</f>
        <v>407000</v>
      </c>
    </row>
    <row r="6" customFormat="false" ht="15" hidden="false" customHeight="false" outlineLevel="0" collapsed="false">
      <c r="A6" s="9" t="s">
        <v>138</v>
      </c>
      <c r="B6" s="23" t="n">
        <f aca="false">B5*Assumptions!$B$19+Assumptions!$B$20</f>
        <v>1443000</v>
      </c>
      <c r="C6" s="23" t="n">
        <f aca="false">C5*Assumptions!$B$19+Assumptions!$B$20</f>
        <v>841750</v>
      </c>
      <c r="D6" s="23" t="n">
        <f aca="false">D5*Assumptions!$B$19+Assumptions!$B$20</f>
        <v>529100</v>
      </c>
    </row>
    <row r="7" customFormat="false" ht="15" hidden="false" customHeight="false" outlineLevel="0" collapsed="false">
      <c r="A7" s="9" t="s">
        <v>139</v>
      </c>
      <c r="B7" s="18" t="n">
        <f aca="false">MIN(Assumptions!$C$63*Assumptions!$B$6,Assumptions!$B$28)</f>
        <v>0.4</v>
      </c>
      <c r="C7" s="18" t="n">
        <f aca="false">MIN(Assumptions!$C$64*Assumptions!$B$6,Assumptions!$B$28)</f>
        <v>0.33</v>
      </c>
      <c r="D7" s="18" t="n">
        <f aca="false">MIN(Assumptions!$C$65*Assumptions!$B$6,Assumptions!$B$28)</f>
        <v>0.3</v>
      </c>
    </row>
    <row r="8" customFormat="false" ht="15" hidden="false" customHeight="false" outlineLevel="0" collapsed="false">
      <c r="A8" s="9" t="s">
        <v>140</v>
      </c>
      <c r="B8" s="21" t="n">
        <f aca="false">Assumptions!$B$27*B7</f>
        <v>2160</v>
      </c>
      <c r="C8" s="21" t="n">
        <f aca="false">Assumptions!$B$27*C7</f>
        <v>1782</v>
      </c>
      <c r="D8" s="21" t="n">
        <f aca="false">Assumptions!$B$27*D7</f>
        <v>1620</v>
      </c>
    </row>
    <row r="9" customFormat="false" ht="15" hidden="false" customHeight="false" outlineLevel="0" collapsed="false">
      <c r="A9" s="9" t="s">
        <v>25</v>
      </c>
      <c r="B9" s="22" t="n">
        <f aca="false">B8/Assumptions!$B$26</f>
        <v>6</v>
      </c>
      <c r="C9" s="22" t="n">
        <f aca="false">C8/Assumptions!$B$26</f>
        <v>4.95</v>
      </c>
      <c r="D9" s="22" t="n">
        <f aca="false">D8/Assumptions!$B$26</f>
        <v>4.5</v>
      </c>
    </row>
    <row r="10" customFormat="false" ht="15" hidden="false" customHeight="false" outlineLevel="0" collapsed="false">
      <c r="A10" s="9" t="s">
        <v>141</v>
      </c>
      <c r="B10" s="23" t="n">
        <f aca="false">Assumptions!$D$63</f>
        <v>520</v>
      </c>
      <c r="C10" s="23" t="n">
        <f aca="false">Assumptions!$D$64</f>
        <v>360</v>
      </c>
      <c r="D10" s="23" t="n">
        <f aca="false">Assumptions!$D$65</f>
        <v>240</v>
      </c>
    </row>
    <row r="11" customFormat="false" ht="15" hidden="false" customHeight="false" outlineLevel="0" collapsed="false">
      <c r="A11" s="9" t="s">
        <v>142</v>
      </c>
      <c r="B11" s="23" t="n">
        <f aca="false">B8*B10</f>
        <v>1123200</v>
      </c>
      <c r="C11" s="23" t="n">
        <f aca="false">C8*C10</f>
        <v>641520</v>
      </c>
      <c r="D11" s="23" t="n">
        <f aca="false">D8*D10</f>
        <v>388800</v>
      </c>
    </row>
    <row r="12" customFormat="false" ht="15" hidden="false" customHeight="false" outlineLevel="0" collapsed="false">
      <c r="A12" s="9" t="s">
        <v>143</v>
      </c>
      <c r="B12" s="23" t="n">
        <f aca="false">(Assumptions!$G$69+Assumptions!$G$70+Assumptions!$G$71)*Assumptions!$B$33*Assumptions!$B$35*Assumptions!$B$6*Assumptions!$B$34*12/SUM(Assumptions!$E$63:$E$65)</f>
        <v>160253.007352941</v>
      </c>
      <c r="C12" s="23" t="n">
        <f aca="false">(Assumptions!$G$69+Assumptions!$G$70+Assumptions!$G$71)*Assumptions!$B$33*Assumptions!$B$35*Assumptions!$B$6*Assumptions!$B$34*12/SUM(Assumptions!$E$63:$E$65)</f>
        <v>160253.007352941</v>
      </c>
      <c r="D12" s="23" t="n">
        <f aca="false">(Assumptions!$G$69+Assumptions!$G$70+Assumptions!$G$71)*Assumptions!$B$33*Assumptions!$B$35*Assumptions!$B$6*Assumptions!$B$34*12/SUM(Assumptions!$E$63:$E$65)</f>
        <v>160253.007352941</v>
      </c>
    </row>
    <row r="13" customFormat="false" ht="15" hidden="false" customHeight="false" outlineLevel="0" collapsed="false">
      <c r="A13" s="9" t="s">
        <v>144</v>
      </c>
      <c r="B13" s="23" t="n">
        <f aca="false">Assumptions!$B$40</f>
        <v>40000</v>
      </c>
      <c r="C13" s="23" t="n">
        <f aca="false">Assumptions!$B$40</f>
        <v>40000</v>
      </c>
      <c r="D13" s="23" t="n">
        <f aca="false">Assumptions!$B$40</f>
        <v>40000</v>
      </c>
    </row>
    <row r="14" customFormat="false" ht="15" hidden="false" customHeight="false" outlineLevel="0" collapsed="false">
      <c r="A14" s="9" t="s">
        <v>145</v>
      </c>
      <c r="B14" s="23" t="n">
        <f aca="false">B8*Assumptions!$B$45</f>
        <v>51300</v>
      </c>
      <c r="C14" s="23" t="n">
        <f aca="false">C8*Assumptions!$B$45</f>
        <v>42322.5</v>
      </c>
      <c r="D14" s="23" t="n">
        <f aca="false">D8*Assumptions!$B$45</f>
        <v>38475</v>
      </c>
    </row>
    <row r="15" customFormat="false" ht="15" hidden="false" customHeight="false" outlineLevel="0" collapsed="false">
      <c r="A15" s="9" t="s">
        <v>146</v>
      </c>
      <c r="B15" s="23" t="n">
        <f aca="false">Assumptions!$B$41</f>
        <v>25000</v>
      </c>
      <c r="C15" s="23" t="n">
        <f aca="false">Assumptions!$B$41</f>
        <v>25000</v>
      </c>
      <c r="D15" s="23" t="n">
        <f aca="false">Assumptions!$B$41</f>
        <v>25000</v>
      </c>
    </row>
    <row r="16" customFormat="false" ht="15" hidden="false" customHeight="false" outlineLevel="0" collapsed="false">
      <c r="A16" s="12" t="s">
        <v>12</v>
      </c>
      <c r="B16" s="27" t="n">
        <f aca="false">SUM(B11:B15)</f>
        <v>1399753.00735294</v>
      </c>
      <c r="C16" s="27" t="n">
        <f aca="false">SUM(C11:C15)</f>
        <v>909095.507352941</v>
      </c>
      <c r="D16" s="27" t="n">
        <f aca="false">SUM(D11:D15)</f>
        <v>652528.007352941</v>
      </c>
    </row>
    <row r="17" customFormat="false" ht="15" hidden="false" customHeight="false" outlineLevel="0" collapsed="false">
      <c r="A17" s="9" t="s">
        <v>147</v>
      </c>
      <c r="B17" s="23" t="n">
        <f aca="false">-(B16-B15)*Assumptions!$B$24</f>
        <v>-274950.601470588</v>
      </c>
      <c r="C17" s="23" t="n">
        <f aca="false">-(C16-C15)*Assumptions!$B$24</f>
        <v>-176819.101470588</v>
      </c>
      <c r="D17" s="23" t="n">
        <f aca="false">-(D16-D15)*Assumptions!$B$24</f>
        <v>-125505.601470588</v>
      </c>
    </row>
    <row r="18" customFormat="false" ht="15" hidden="false" customHeight="false" outlineLevel="0" collapsed="false">
      <c r="A18" s="9" t="s">
        <v>148</v>
      </c>
      <c r="B18" s="23" t="n">
        <f aca="false">-(B16-B15)*Assumptions!$B$48</f>
        <v>-34368.8251838235</v>
      </c>
      <c r="C18" s="23" t="n">
        <f aca="false">-(C16-C15)*Assumptions!$B$48</f>
        <v>-22102.3876838235</v>
      </c>
      <c r="D18" s="23" t="n">
        <f aca="false">-(D16-D15)*Assumptions!$B$48</f>
        <v>-15688.2001838235</v>
      </c>
    </row>
    <row r="19" customFormat="false" ht="15" hidden="false" customHeight="false" outlineLevel="0" collapsed="false">
      <c r="A19" s="9" t="s">
        <v>149</v>
      </c>
      <c r="B19" s="23" t="n">
        <f aca="false">-B16*Assumptions!$B$49</f>
        <v>-69987.6503676471</v>
      </c>
      <c r="C19" s="23" t="n">
        <f aca="false">-C16*Assumptions!$B$49</f>
        <v>-45454.7753676471</v>
      </c>
      <c r="D19" s="23" t="n">
        <f aca="false">-D16*Assumptions!$B$49</f>
        <v>-32626.4003676471</v>
      </c>
    </row>
    <row r="20" customFormat="false" ht="15" hidden="false" customHeight="false" outlineLevel="0" collapsed="false">
      <c r="A20" s="9" t="s">
        <v>150</v>
      </c>
      <c r="B20" s="23" t="n">
        <f aca="false">-B5*Assumptions!$B$51</f>
        <v>-44400</v>
      </c>
      <c r="C20" s="23" t="n">
        <f aca="false">-C5*Assumptions!$B$51</f>
        <v>-25900</v>
      </c>
      <c r="D20" s="23" t="n">
        <f aca="false">-D5*Assumptions!$B$51</f>
        <v>-16280</v>
      </c>
    </row>
    <row r="21" customFormat="false" ht="15" hidden="false" customHeight="false" outlineLevel="0" collapsed="false">
      <c r="A21" s="9" t="s">
        <v>151</v>
      </c>
      <c r="B21" s="23" t="n">
        <f aca="false">-Assumptions!$B$52</f>
        <v>-24000</v>
      </c>
      <c r="C21" s="23" t="n">
        <f aca="false">-Assumptions!$B$52</f>
        <v>-24000</v>
      </c>
      <c r="D21" s="23" t="n">
        <f aca="false">-Assumptions!$B$52</f>
        <v>-24000</v>
      </c>
    </row>
    <row r="22" customFormat="false" ht="15" hidden="false" customHeight="false" outlineLevel="0" collapsed="false">
      <c r="A22" s="9" t="s">
        <v>152</v>
      </c>
      <c r="B22" s="23" t="n">
        <f aca="false">-B6*Assumptions!$B$50</f>
        <v>-14430</v>
      </c>
      <c r="C22" s="23" t="n">
        <f aca="false">-C6*Assumptions!$B$50</f>
        <v>-8417.5</v>
      </c>
      <c r="D22" s="23" t="n">
        <f aca="false">-D6*Assumptions!$B$50</f>
        <v>-5291</v>
      </c>
    </row>
    <row r="23" customFormat="false" ht="15" hidden="false" customHeight="false" outlineLevel="0" collapsed="false">
      <c r="A23" s="9" t="s">
        <v>153</v>
      </c>
      <c r="B23" s="23" t="n">
        <f aca="false">-Assumptions!$B$53</f>
        <v>-80000</v>
      </c>
      <c r="C23" s="23" t="n">
        <f aca="false">-Assumptions!$B$53</f>
        <v>-80000</v>
      </c>
      <c r="D23" s="23" t="n">
        <f aca="false">-Assumptions!$B$53</f>
        <v>-80000</v>
      </c>
    </row>
    <row r="24" customFormat="false" ht="15" hidden="false" customHeight="false" outlineLevel="0" collapsed="false">
      <c r="A24" s="12" t="s">
        <v>14</v>
      </c>
      <c r="B24" s="27" t="n">
        <f aca="false">SUM(B16:B23)</f>
        <v>857615.930330882</v>
      </c>
      <c r="C24" s="27" t="n">
        <f aca="false">SUM(C16:C23)</f>
        <v>526401.742830882</v>
      </c>
      <c r="D24" s="27" t="n">
        <f aca="false">SUM(D16:D23)</f>
        <v>353136.805330882</v>
      </c>
    </row>
    <row r="25" customFormat="false" ht="15" hidden="false" customHeight="false" outlineLevel="0" collapsed="false">
      <c r="A25" s="9" t="s">
        <v>15</v>
      </c>
      <c r="B25" s="18" t="n">
        <f aca="false">IF(B16=0,0,B24/B16)</f>
        <v>0.612690900341562</v>
      </c>
      <c r="C25" s="18" t="n">
        <f aca="false">IF(C16=0,0,C24/C16)</f>
        <v>0.579038988283676</v>
      </c>
      <c r="D25" s="18" t="n">
        <f aca="false">IF(D16=0,0,D24/D16)</f>
        <v>0.541182602664711</v>
      </c>
    </row>
    <row r="26" customFormat="false" ht="15" hidden="false" customHeight="false" outlineLevel="0" collapsed="false">
      <c r="A26" s="9" t="s">
        <v>154</v>
      </c>
      <c r="B26" s="23" t="n">
        <f aca="false">-(B6*Assumptions!$B$18)*(Assumptions!$B$15/12)/(1-(1+Assumptions!$B$15/12)^-Assumptions!$B$17)*12</f>
        <v>-346666.370500583</v>
      </c>
      <c r="C26" s="23" t="n">
        <f aca="false">-(C6*Assumptions!$B$18)*(Assumptions!$B$15/12)/(1-(1+Assumptions!$B$15/12)^-Assumptions!$B$17)*12</f>
        <v>-202222.049458673</v>
      </c>
      <c r="D26" s="23" t="n">
        <f aca="false">-(D6*Assumptions!$B$18)*(Assumptions!$B$15/12)/(1-(1+Assumptions!$B$15/12)^-Assumptions!$B$17)*12</f>
        <v>-127111.00251688</v>
      </c>
    </row>
    <row r="27" customFormat="false" ht="15" hidden="false" customHeight="false" outlineLevel="0" collapsed="false">
      <c r="A27" s="12" t="s">
        <v>18</v>
      </c>
      <c r="B27" s="27" t="n">
        <f aca="false">B24+B26</f>
        <v>510949.559830299</v>
      </c>
      <c r="C27" s="27" t="n">
        <f aca="false">C24+C26</f>
        <v>324179.693372209</v>
      </c>
      <c r="D27" s="27" t="n">
        <f aca="false">D24+D26</f>
        <v>226025.802814002</v>
      </c>
    </row>
    <row r="28" customFormat="false" ht="15" hidden="false" customHeight="false" outlineLevel="0" collapsed="false">
      <c r="A28" s="9" t="s">
        <v>155</v>
      </c>
      <c r="B28" s="22" t="n">
        <f aca="false">IF(B24&lt;=0,"n/a",B6/B24)</f>
        <v>1.6825713573712</v>
      </c>
      <c r="C28" s="22" t="n">
        <f aca="false">IF(C24&lt;=0,"n/a",C6/C24)</f>
        <v>1.5990638546773</v>
      </c>
      <c r="D28" s="22" t="n">
        <f aca="false">IF(D24&lt;=0,"n/a",D6/D24)</f>
        <v>1.49828619394187</v>
      </c>
    </row>
    <row r="29" customFormat="false" ht="15" hidden="false" customHeight="false" outlineLevel="0" collapsed="false">
      <c r="A29" s="9" t="s">
        <v>156</v>
      </c>
      <c r="B29" s="23" t="n">
        <f aca="false">-B17</f>
        <v>274950.601470588</v>
      </c>
      <c r="C29" s="23" t="n">
        <f aca="false">-C17</f>
        <v>176819.101470588</v>
      </c>
      <c r="D29" s="23" t="n">
        <f aca="false">-D17</f>
        <v>125505.601470588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6" min="3" style="0" width="15"/>
    <col collapsed="false" customWidth="true" hidden="false" outlineLevel="0" max="12" min="9" style="0" width="15"/>
    <col collapsed="false" customWidth="true" hidden="false" outlineLevel="0" max="18" min="15" style="0" width="15"/>
  </cols>
  <sheetData>
    <row r="1" customFormat="false" ht="17.35" hidden="false" customHeight="false" outlineLevel="0" collapsed="false">
      <c r="A1" s="1" t="s">
        <v>157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15" hidden="false" customHeight="false" outlineLevel="0" collapsed="false">
      <c r="A4" s="12" t="s">
        <v>115</v>
      </c>
      <c r="B4" s="2"/>
      <c r="C4" s="12" t="s">
        <v>122</v>
      </c>
      <c r="D4" s="2"/>
      <c r="E4" s="2"/>
      <c r="F4" s="2"/>
      <c r="G4" s="2"/>
      <c r="H4" s="2"/>
      <c r="I4" s="12" t="s">
        <v>123</v>
      </c>
      <c r="J4" s="2"/>
      <c r="K4" s="2"/>
      <c r="L4" s="2"/>
      <c r="M4" s="2"/>
      <c r="N4" s="2"/>
      <c r="O4" s="12" t="s">
        <v>124</v>
      </c>
      <c r="P4" s="2"/>
      <c r="Q4" s="2"/>
      <c r="R4" s="2"/>
    </row>
    <row r="5" customFormat="false" ht="15" hidden="false" customHeight="false" outlineLevel="0" collapsed="false">
      <c r="A5" s="2"/>
      <c r="B5" s="2"/>
      <c r="C5" s="9" t="s">
        <v>159</v>
      </c>
      <c r="D5" s="5" t="n">
        <f aca="false">Assumptions!$D$69*(Assumptions!$B$63*Assumptions!$B$12*Assumptions!$B$19+Assumptions!$B$20)+Assumptions!$E$69*(Assumptions!$B$64*Assumptions!$B$12*Assumptions!$B$19+Assumptions!$B$20)+Assumptions!$F$69*(Assumptions!$B$65*Assumptions!$B$12*Assumptions!$B$19+Assumptions!$B$20)</f>
        <v>57720000</v>
      </c>
      <c r="E5" s="2"/>
      <c r="F5" s="2"/>
      <c r="G5" s="2"/>
      <c r="H5" s="2"/>
      <c r="I5" s="9" t="s">
        <v>159</v>
      </c>
      <c r="J5" s="5" t="n">
        <f aca="false">Assumptions!$D$70*(Assumptions!$B$63*Assumptions!$B$12*Assumptions!$B$19+Assumptions!$B$20)+Assumptions!$E$70*(Assumptions!$B$64*Assumptions!$B$12*Assumptions!$B$19+Assumptions!$B$20)+Assumptions!$F$70*(Assumptions!$B$65*Assumptions!$B$12*Assumptions!$B$19+Assumptions!$B$20)</f>
        <v>84175000</v>
      </c>
      <c r="K5" s="2"/>
      <c r="L5" s="2"/>
      <c r="M5" s="2"/>
      <c r="N5" s="2"/>
      <c r="O5" s="9" t="s">
        <v>159</v>
      </c>
      <c r="P5" s="5" t="n">
        <f aca="false">Assumptions!$D$71*(Assumptions!$B$63*Assumptions!$B$12*Assumptions!$B$19+Assumptions!$B$20)+Assumptions!$E$71*(Assumptions!$B$64*Assumptions!$B$12*Assumptions!$B$19+Assumptions!$B$20)+Assumptions!$F$71*(Assumptions!$B$65*Assumptions!$B$12*Assumptions!$B$19+Assumptions!$B$20)</f>
        <v>37999000</v>
      </c>
      <c r="Q5" s="2"/>
      <c r="R5" s="2"/>
    </row>
    <row r="6" customFormat="false" ht="15" hidden="false" customHeight="false" outlineLevel="0" collapsed="false">
      <c r="A6" s="2"/>
      <c r="B6" s="2"/>
      <c r="C6" s="9" t="s">
        <v>160</v>
      </c>
      <c r="D6" s="6" t="n">
        <f aca="false">D5*Assumptions!$B$18</f>
        <v>51948000</v>
      </c>
      <c r="E6" s="2"/>
      <c r="F6" s="2"/>
      <c r="G6" s="2"/>
      <c r="H6" s="2"/>
      <c r="I6" s="9" t="s">
        <v>160</v>
      </c>
      <c r="J6" s="6" t="n">
        <f aca="false">J5*Assumptions!$B$18</f>
        <v>75757500</v>
      </c>
      <c r="K6" s="2"/>
      <c r="L6" s="2"/>
      <c r="M6" s="2"/>
      <c r="N6" s="2"/>
      <c r="O6" s="9" t="s">
        <v>160</v>
      </c>
      <c r="P6" s="6" t="n">
        <f aca="false">P5*Assumptions!$B$18</f>
        <v>34199100</v>
      </c>
      <c r="Q6" s="2"/>
      <c r="R6" s="2"/>
    </row>
    <row r="7" customFormat="false" ht="15" hidden="false" customHeight="false" outlineLevel="0" collapsed="false">
      <c r="A7" s="2"/>
      <c r="B7" s="2"/>
      <c r="C7" s="9" t="s">
        <v>161</v>
      </c>
      <c r="D7" s="28" t="n">
        <f aca="false">(Assumptions!$B$69-2027)*12+1</f>
        <v>1</v>
      </c>
      <c r="E7" s="2"/>
      <c r="F7" s="2"/>
      <c r="G7" s="2"/>
      <c r="H7" s="2"/>
      <c r="I7" s="9" t="s">
        <v>161</v>
      </c>
      <c r="J7" s="28" t="n">
        <f aca="false">(Assumptions!$B$70-2027)*12+1</f>
        <v>13</v>
      </c>
      <c r="K7" s="2"/>
      <c r="L7" s="2"/>
      <c r="M7" s="2"/>
      <c r="N7" s="2"/>
      <c r="O7" s="9" t="s">
        <v>161</v>
      </c>
      <c r="P7" s="28" t="n">
        <f aca="false">(Assumptions!$B$71-2027)*12+1</f>
        <v>25</v>
      </c>
      <c r="Q7" s="2"/>
      <c r="R7" s="2"/>
    </row>
    <row r="8" customFormat="false" ht="15" hidden="false" customHeight="false" outlineLevel="0" collapsed="false">
      <c r="A8" s="2"/>
      <c r="B8" s="2"/>
      <c r="C8" s="9" t="s">
        <v>162</v>
      </c>
      <c r="D8" s="6" t="n">
        <f aca="false">D6*(Assumptions!$B$15/12)/(1-(1+Assumptions!$B$15/12)^-Assumptions!$B$17)</f>
        <v>1155554.56833528</v>
      </c>
      <c r="E8" s="2"/>
      <c r="F8" s="2"/>
      <c r="G8" s="2"/>
      <c r="H8" s="2"/>
      <c r="I8" s="9" t="s">
        <v>162</v>
      </c>
      <c r="J8" s="6" t="n">
        <f aca="false">J6*(Assumptions!$B$15/12)/(1-(1+Assumptions!$B$15/12)^-Assumptions!$B$17)</f>
        <v>1685183.74548895</v>
      </c>
      <c r="K8" s="2"/>
      <c r="L8" s="2"/>
      <c r="M8" s="2"/>
      <c r="N8" s="2"/>
      <c r="O8" s="9" t="s">
        <v>162</v>
      </c>
      <c r="P8" s="6" t="n">
        <f aca="false">P6*(Assumptions!$B$15/12)/(1-(1+Assumptions!$B$15/12)^-Assumptions!$B$17)</f>
        <v>760740.090820724</v>
      </c>
      <c r="Q8" s="2"/>
      <c r="R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customFormat="false" ht="15" hidden="false" customHeight="false" outlineLevel="0" collapsed="false">
      <c r="A10" s="8" t="s">
        <v>163</v>
      </c>
      <c r="B10" s="8" t="s">
        <v>126</v>
      </c>
      <c r="C10" s="8" t="s">
        <v>164</v>
      </c>
      <c r="D10" s="8" t="s">
        <v>165</v>
      </c>
      <c r="E10" s="8" t="s">
        <v>166</v>
      </c>
      <c r="F10" s="8" t="s">
        <v>167</v>
      </c>
      <c r="G10" s="2"/>
      <c r="H10" s="2"/>
      <c r="I10" s="8" t="s">
        <v>164</v>
      </c>
      <c r="J10" s="8" t="s">
        <v>165</v>
      </c>
      <c r="K10" s="8" t="s">
        <v>166</v>
      </c>
      <c r="L10" s="8" t="s">
        <v>167</v>
      </c>
      <c r="M10" s="2"/>
      <c r="N10" s="2"/>
      <c r="O10" s="8" t="s">
        <v>164</v>
      </c>
      <c r="P10" s="8" t="s">
        <v>165</v>
      </c>
      <c r="Q10" s="8" t="s">
        <v>166</v>
      </c>
      <c r="R10" s="8" t="s">
        <v>167</v>
      </c>
    </row>
    <row r="11" customFormat="false" ht="15" hidden="false" customHeight="false" outlineLevel="0" collapsed="false">
      <c r="A11" s="28" t="n">
        <v>1</v>
      </c>
      <c r="B11" s="29" t="n">
        <f aca="false">2027+INT((A11-1)/12)</f>
        <v>2027</v>
      </c>
      <c r="C11" s="6" t="n">
        <f aca="false">IF(A11=$D$7,$D$6,0)</f>
        <v>51948000</v>
      </c>
      <c r="D11" s="6" t="n">
        <f aca="false">C11*Assumptions!$B$15/12</f>
        <v>519480</v>
      </c>
      <c r="E11" s="6" t="n">
        <f aca="false">IF(A11-$D$7+1&gt;Assumptions!$B$16,MIN(MAX($D$8-D11,0),C11),0)</f>
        <v>0</v>
      </c>
      <c r="F11" s="6" t="n">
        <f aca="false">C11-E11</f>
        <v>51948000</v>
      </c>
      <c r="G11" s="2"/>
      <c r="H11" s="2"/>
      <c r="I11" s="6" t="n">
        <f aca="false">IF(A11=$J$7,$J$6,0)</f>
        <v>0</v>
      </c>
      <c r="J11" s="6" t="n">
        <f aca="false">I11*Assumptions!$B$15/12</f>
        <v>0</v>
      </c>
      <c r="K11" s="6" t="n">
        <f aca="false">IF(A11-$J$7+1&gt;Assumptions!$B$16,MIN(MAX($J$8-J11,0),I11),0)</f>
        <v>0</v>
      </c>
      <c r="L11" s="6" t="n">
        <f aca="false">I11-K11</f>
        <v>0</v>
      </c>
      <c r="M11" s="2"/>
      <c r="N11" s="2"/>
      <c r="O11" s="6" t="n">
        <f aca="false">IF(A11=$P$7,$P$6,0)</f>
        <v>0</v>
      </c>
      <c r="P11" s="6" t="n">
        <f aca="false">O11*Assumptions!$B$15/12</f>
        <v>0</v>
      </c>
      <c r="Q11" s="6" t="n">
        <f aca="false">IF(A11-$P$7+1&gt;Assumptions!$B$16,MIN(MAX($P$8-P11,0),O11),0)</f>
        <v>0</v>
      </c>
      <c r="R11" s="6" t="n">
        <f aca="false">O11-Q11</f>
        <v>0</v>
      </c>
    </row>
    <row r="12" customFormat="false" ht="15" hidden="false" customHeight="false" outlineLevel="0" collapsed="false">
      <c r="A12" s="28" t="n">
        <v>2</v>
      </c>
      <c r="B12" s="29" t="n">
        <f aca="false">2027+INT((A12-1)/12)</f>
        <v>2027</v>
      </c>
      <c r="C12" s="6" t="n">
        <f aca="false">IF(A12=$D$7,$D$6,IF(A12&gt;$D$7,F11,0))</f>
        <v>51948000</v>
      </c>
      <c r="D12" s="6" t="n">
        <f aca="false">C12*Assumptions!$B$15/12</f>
        <v>519480</v>
      </c>
      <c r="E12" s="6" t="n">
        <f aca="false">IF(A12-$D$7+1&gt;Assumptions!$B$16,MIN(MAX($D$8-D12,0),C12),0)</f>
        <v>0</v>
      </c>
      <c r="F12" s="6" t="n">
        <f aca="false">C12-E12</f>
        <v>51948000</v>
      </c>
      <c r="G12" s="2"/>
      <c r="H12" s="2"/>
      <c r="I12" s="6" t="n">
        <f aca="false">IF(A12=$J$7,$J$6,IF(A12&gt;$J$7,L11,0))</f>
        <v>0</v>
      </c>
      <c r="J12" s="6" t="n">
        <f aca="false">I12*Assumptions!$B$15/12</f>
        <v>0</v>
      </c>
      <c r="K12" s="6" t="n">
        <f aca="false">IF(A12-$J$7+1&gt;Assumptions!$B$16,MIN(MAX($J$8-J12,0),I12),0)</f>
        <v>0</v>
      </c>
      <c r="L12" s="6" t="n">
        <f aca="false">I12-K12</f>
        <v>0</v>
      </c>
      <c r="M12" s="2"/>
      <c r="N12" s="2"/>
      <c r="O12" s="6" t="n">
        <f aca="false">IF(A12=$P$7,$P$6,IF(A12&gt;$P$7,R11,0))</f>
        <v>0</v>
      </c>
      <c r="P12" s="6" t="n">
        <f aca="false">O12*Assumptions!$B$15/12</f>
        <v>0</v>
      </c>
      <c r="Q12" s="6" t="n">
        <f aca="false">IF(A12-$P$7+1&gt;Assumptions!$B$16,MIN(MAX($P$8-P12,0),O12),0)</f>
        <v>0</v>
      </c>
      <c r="R12" s="6" t="n">
        <f aca="false">O12-Q12</f>
        <v>0</v>
      </c>
    </row>
    <row r="13" customFormat="false" ht="15" hidden="false" customHeight="false" outlineLevel="0" collapsed="false">
      <c r="A13" s="28" t="n">
        <v>3</v>
      </c>
      <c r="B13" s="29" t="n">
        <f aca="false">2027+INT((A13-1)/12)</f>
        <v>2027</v>
      </c>
      <c r="C13" s="6" t="n">
        <f aca="false">IF(A13=$D$7,$D$6,IF(A13&gt;$D$7,F12,0))</f>
        <v>51948000</v>
      </c>
      <c r="D13" s="6" t="n">
        <f aca="false">C13*Assumptions!$B$15/12</f>
        <v>519480</v>
      </c>
      <c r="E13" s="6" t="n">
        <f aca="false">IF(A13-$D$7+1&gt;Assumptions!$B$16,MIN(MAX($D$8-D13,0),C13),0)</f>
        <v>0</v>
      </c>
      <c r="F13" s="6" t="n">
        <f aca="false">C13-E13</f>
        <v>51948000</v>
      </c>
      <c r="G13" s="2"/>
      <c r="H13" s="2"/>
      <c r="I13" s="6" t="n">
        <f aca="false">IF(A13=$J$7,$J$6,IF(A13&gt;$J$7,L12,0))</f>
        <v>0</v>
      </c>
      <c r="J13" s="6" t="n">
        <f aca="false">I13*Assumptions!$B$15/12</f>
        <v>0</v>
      </c>
      <c r="K13" s="6" t="n">
        <f aca="false">IF(A13-$J$7+1&gt;Assumptions!$B$16,MIN(MAX($J$8-J13,0),I13),0)</f>
        <v>0</v>
      </c>
      <c r="L13" s="6" t="n">
        <f aca="false">I13-K13</f>
        <v>0</v>
      </c>
      <c r="M13" s="2"/>
      <c r="N13" s="2"/>
      <c r="O13" s="6" t="n">
        <f aca="false">IF(A13=$P$7,$P$6,IF(A13&gt;$P$7,R12,0))</f>
        <v>0</v>
      </c>
      <c r="P13" s="6" t="n">
        <f aca="false">O13*Assumptions!$B$15/12</f>
        <v>0</v>
      </c>
      <c r="Q13" s="6" t="n">
        <f aca="false">IF(A13-$P$7+1&gt;Assumptions!$B$16,MIN(MAX($P$8-P13,0),O13),0)</f>
        <v>0</v>
      </c>
      <c r="R13" s="6" t="n">
        <f aca="false">O13-Q13</f>
        <v>0</v>
      </c>
    </row>
    <row r="14" customFormat="false" ht="15" hidden="false" customHeight="false" outlineLevel="0" collapsed="false">
      <c r="A14" s="28" t="n">
        <v>4</v>
      </c>
      <c r="B14" s="29" t="n">
        <f aca="false">2027+INT((A14-1)/12)</f>
        <v>2027</v>
      </c>
      <c r="C14" s="6" t="n">
        <f aca="false">IF(A14=$D$7,$D$6,IF(A14&gt;$D$7,F13,0))</f>
        <v>51948000</v>
      </c>
      <c r="D14" s="6" t="n">
        <f aca="false">C14*Assumptions!$B$15/12</f>
        <v>519480</v>
      </c>
      <c r="E14" s="6" t="n">
        <f aca="false">IF(A14-$D$7+1&gt;Assumptions!$B$16,MIN(MAX($D$8-D14,0),C14),0)</f>
        <v>0</v>
      </c>
      <c r="F14" s="6" t="n">
        <f aca="false">C14-E14</f>
        <v>51948000</v>
      </c>
      <c r="G14" s="2"/>
      <c r="H14" s="2"/>
      <c r="I14" s="6" t="n">
        <f aca="false">IF(A14=$J$7,$J$6,IF(A14&gt;$J$7,L13,0))</f>
        <v>0</v>
      </c>
      <c r="J14" s="6" t="n">
        <f aca="false">I14*Assumptions!$B$15/12</f>
        <v>0</v>
      </c>
      <c r="K14" s="6" t="n">
        <f aca="false">IF(A14-$J$7+1&gt;Assumptions!$B$16,MIN(MAX($J$8-J14,0),I14),0)</f>
        <v>0</v>
      </c>
      <c r="L14" s="6" t="n">
        <f aca="false">I14-K14</f>
        <v>0</v>
      </c>
      <c r="M14" s="2"/>
      <c r="N14" s="2"/>
      <c r="O14" s="6" t="n">
        <f aca="false">IF(A14=$P$7,$P$6,IF(A14&gt;$P$7,R13,0))</f>
        <v>0</v>
      </c>
      <c r="P14" s="6" t="n">
        <f aca="false">O14*Assumptions!$B$15/12</f>
        <v>0</v>
      </c>
      <c r="Q14" s="6" t="n">
        <f aca="false">IF(A14-$P$7+1&gt;Assumptions!$B$16,MIN(MAX($P$8-P14,0),O14),0)</f>
        <v>0</v>
      </c>
      <c r="R14" s="6" t="n">
        <f aca="false">O14-Q14</f>
        <v>0</v>
      </c>
    </row>
    <row r="15" customFormat="false" ht="15" hidden="false" customHeight="false" outlineLevel="0" collapsed="false">
      <c r="A15" s="28" t="n">
        <v>5</v>
      </c>
      <c r="B15" s="29" t="n">
        <f aca="false">2027+INT((A15-1)/12)</f>
        <v>2027</v>
      </c>
      <c r="C15" s="6" t="n">
        <f aca="false">IF(A15=$D$7,$D$6,IF(A15&gt;$D$7,F14,0))</f>
        <v>51948000</v>
      </c>
      <c r="D15" s="6" t="n">
        <f aca="false">C15*Assumptions!$B$15/12</f>
        <v>519480</v>
      </c>
      <c r="E15" s="6" t="n">
        <f aca="false">IF(A15-$D$7+1&gt;Assumptions!$B$16,MIN(MAX($D$8-D15,0),C15),0)</f>
        <v>0</v>
      </c>
      <c r="F15" s="6" t="n">
        <f aca="false">C15-E15</f>
        <v>51948000</v>
      </c>
      <c r="G15" s="2"/>
      <c r="H15" s="2"/>
      <c r="I15" s="6" t="n">
        <f aca="false">IF(A15=$J$7,$J$6,IF(A15&gt;$J$7,L14,0))</f>
        <v>0</v>
      </c>
      <c r="J15" s="6" t="n">
        <f aca="false">I15*Assumptions!$B$15/12</f>
        <v>0</v>
      </c>
      <c r="K15" s="6" t="n">
        <f aca="false">IF(A15-$J$7+1&gt;Assumptions!$B$16,MIN(MAX($J$8-J15,0),I15),0)</f>
        <v>0</v>
      </c>
      <c r="L15" s="6" t="n">
        <f aca="false">I15-K15</f>
        <v>0</v>
      </c>
      <c r="M15" s="2"/>
      <c r="N15" s="2"/>
      <c r="O15" s="6" t="n">
        <f aca="false">IF(A15=$P$7,$P$6,IF(A15&gt;$P$7,R14,0))</f>
        <v>0</v>
      </c>
      <c r="P15" s="6" t="n">
        <f aca="false">O15*Assumptions!$B$15/12</f>
        <v>0</v>
      </c>
      <c r="Q15" s="6" t="n">
        <f aca="false">IF(A15-$P$7+1&gt;Assumptions!$B$16,MIN(MAX($P$8-P15,0),O15),0)</f>
        <v>0</v>
      </c>
      <c r="R15" s="6" t="n">
        <f aca="false">O15-Q15</f>
        <v>0</v>
      </c>
    </row>
    <row r="16" customFormat="false" ht="15" hidden="false" customHeight="false" outlineLevel="0" collapsed="false">
      <c r="A16" s="28" t="n">
        <v>6</v>
      </c>
      <c r="B16" s="29" t="n">
        <f aca="false">2027+INT((A16-1)/12)</f>
        <v>2027</v>
      </c>
      <c r="C16" s="6" t="n">
        <f aca="false">IF(A16=$D$7,$D$6,IF(A16&gt;$D$7,F15,0))</f>
        <v>51948000</v>
      </c>
      <c r="D16" s="6" t="n">
        <f aca="false">C16*Assumptions!$B$15/12</f>
        <v>519480</v>
      </c>
      <c r="E16" s="6" t="n">
        <f aca="false">IF(A16-$D$7+1&gt;Assumptions!$B$16,MIN(MAX($D$8-D16,0),C16),0)</f>
        <v>0</v>
      </c>
      <c r="F16" s="6" t="n">
        <f aca="false">C16-E16</f>
        <v>51948000</v>
      </c>
      <c r="G16" s="2"/>
      <c r="H16" s="2"/>
      <c r="I16" s="6" t="n">
        <f aca="false">IF(A16=$J$7,$J$6,IF(A16&gt;$J$7,L15,0))</f>
        <v>0</v>
      </c>
      <c r="J16" s="6" t="n">
        <f aca="false">I16*Assumptions!$B$15/12</f>
        <v>0</v>
      </c>
      <c r="K16" s="6" t="n">
        <f aca="false">IF(A16-$J$7+1&gt;Assumptions!$B$16,MIN(MAX($J$8-J16,0),I16),0)</f>
        <v>0</v>
      </c>
      <c r="L16" s="6" t="n">
        <f aca="false">I16-K16</f>
        <v>0</v>
      </c>
      <c r="M16" s="2"/>
      <c r="N16" s="2"/>
      <c r="O16" s="6" t="n">
        <f aca="false">IF(A16=$P$7,$P$6,IF(A16&gt;$P$7,R15,0))</f>
        <v>0</v>
      </c>
      <c r="P16" s="6" t="n">
        <f aca="false">O16*Assumptions!$B$15/12</f>
        <v>0</v>
      </c>
      <c r="Q16" s="6" t="n">
        <f aca="false">IF(A16-$P$7+1&gt;Assumptions!$B$16,MIN(MAX($P$8-P16,0),O16),0)</f>
        <v>0</v>
      </c>
      <c r="R16" s="6" t="n">
        <f aca="false">O16-Q16</f>
        <v>0</v>
      </c>
    </row>
    <row r="17" customFormat="false" ht="15" hidden="false" customHeight="false" outlineLevel="0" collapsed="false">
      <c r="A17" s="28" t="n">
        <v>7</v>
      </c>
      <c r="B17" s="29" t="n">
        <f aca="false">2027+INT((A17-1)/12)</f>
        <v>2027</v>
      </c>
      <c r="C17" s="6" t="n">
        <f aca="false">IF(A17=$D$7,$D$6,IF(A17&gt;$D$7,F16,0))</f>
        <v>51948000</v>
      </c>
      <c r="D17" s="6" t="n">
        <f aca="false">C17*Assumptions!$B$15/12</f>
        <v>519480</v>
      </c>
      <c r="E17" s="6" t="n">
        <f aca="false">IF(A17-$D$7+1&gt;Assumptions!$B$16,MIN(MAX($D$8-D17,0),C17),0)</f>
        <v>0</v>
      </c>
      <c r="F17" s="6" t="n">
        <f aca="false">C17-E17</f>
        <v>51948000</v>
      </c>
      <c r="G17" s="2"/>
      <c r="H17" s="2"/>
      <c r="I17" s="6" t="n">
        <f aca="false">IF(A17=$J$7,$J$6,IF(A17&gt;$J$7,L16,0))</f>
        <v>0</v>
      </c>
      <c r="J17" s="6" t="n">
        <f aca="false">I17*Assumptions!$B$15/12</f>
        <v>0</v>
      </c>
      <c r="K17" s="6" t="n">
        <f aca="false">IF(A17-$J$7+1&gt;Assumptions!$B$16,MIN(MAX($J$8-J17,0),I17),0)</f>
        <v>0</v>
      </c>
      <c r="L17" s="6" t="n">
        <f aca="false">I17-K17</f>
        <v>0</v>
      </c>
      <c r="M17" s="2"/>
      <c r="N17" s="2"/>
      <c r="O17" s="6" t="n">
        <f aca="false">IF(A17=$P$7,$P$6,IF(A17&gt;$P$7,R16,0))</f>
        <v>0</v>
      </c>
      <c r="P17" s="6" t="n">
        <f aca="false">O17*Assumptions!$B$15/12</f>
        <v>0</v>
      </c>
      <c r="Q17" s="6" t="n">
        <f aca="false">IF(A17-$P$7+1&gt;Assumptions!$B$16,MIN(MAX($P$8-P17,0),O17),0)</f>
        <v>0</v>
      </c>
      <c r="R17" s="6" t="n">
        <f aca="false">O17-Q17</f>
        <v>0</v>
      </c>
    </row>
    <row r="18" customFormat="false" ht="15" hidden="false" customHeight="false" outlineLevel="0" collapsed="false">
      <c r="A18" s="28" t="n">
        <v>8</v>
      </c>
      <c r="B18" s="29" t="n">
        <f aca="false">2027+INT((A18-1)/12)</f>
        <v>2027</v>
      </c>
      <c r="C18" s="6" t="n">
        <f aca="false">IF(A18=$D$7,$D$6,IF(A18&gt;$D$7,F17,0))</f>
        <v>51948000</v>
      </c>
      <c r="D18" s="6" t="n">
        <f aca="false">C18*Assumptions!$B$15/12</f>
        <v>519480</v>
      </c>
      <c r="E18" s="6" t="n">
        <f aca="false">IF(A18-$D$7+1&gt;Assumptions!$B$16,MIN(MAX($D$8-D18,0),C18),0)</f>
        <v>0</v>
      </c>
      <c r="F18" s="6" t="n">
        <f aca="false">C18-E18</f>
        <v>51948000</v>
      </c>
      <c r="G18" s="2"/>
      <c r="H18" s="2"/>
      <c r="I18" s="6" t="n">
        <f aca="false">IF(A18=$J$7,$J$6,IF(A18&gt;$J$7,L17,0))</f>
        <v>0</v>
      </c>
      <c r="J18" s="6" t="n">
        <f aca="false">I18*Assumptions!$B$15/12</f>
        <v>0</v>
      </c>
      <c r="K18" s="6" t="n">
        <f aca="false">IF(A18-$J$7+1&gt;Assumptions!$B$16,MIN(MAX($J$8-J18,0),I18),0)</f>
        <v>0</v>
      </c>
      <c r="L18" s="6" t="n">
        <f aca="false">I18-K18</f>
        <v>0</v>
      </c>
      <c r="M18" s="2"/>
      <c r="N18" s="2"/>
      <c r="O18" s="6" t="n">
        <f aca="false">IF(A18=$P$7,$P$6,IF(A18&gt;$P$7,R17,0))</f>
        <v>0</v>
      </c>
      <c r="P18" s="6" t="n">
        <f aca="false">O18*Assumptions!$B$15/12</f>
        <v>0</v>
      </c>
      <c r="Q18" s="6" t="n">
        <f aca="false">IF(A18-$P$7+1&gt;Assumptions!$B$16,MIN(MAX($P$8-P18,0),O18),0)</f>
        <v>0</v>
      </c>
      <c r="R18" s="6" t="n">
        <f aca="false">O18-Q18</f>
        <v>0</v>
      </c>
    </row>
    <row r="19" customFormat="false" ht="15" hidden="false" customHeight="false" outlineLevel="0" collapsed="false">
      <c r="A19" s="28" t="n">
        <v>9</v>
      </c>
      <c r="B19" s="29" t="n">
        <f aca="false">2027+INT((A19-1)/12)</f>
        <v>2027</v>
      </c>
      <c r="C19" s="6" t="n">
        <f aca="false">IF(A19=$D$7,$D$6,IF(A19&gt;$D$7,F18,0))</f>
        <v>51948000</v>
      </c>
      <c r="D19" s="6" t="n">
        <f aca="false">C19*Assumptions!$B$15/12</f>
        <v>519480</v>
      </c>
      <c r="E19" s="6" t="n">
        <f aca="false">IF(A19-$D$7+1&gt;Assumptions!$B$16,MIN(MAX($D$8-D19,0),C19),0)</f>
        <v>0</v>
      </c>
      <c r="F19" s="6" t="n">
        <f aca="false">C19-E19</f>
        <v>51948000</v>
      </c>
      <c r="G19" s="2"/>
      <c r="H19" s="2"/>
      <c r="I19" s="6" t="n">
        <f aca="false">IF(A19=$J$7,$J$6,IF(A19&gt;$J$7,L18,0))</f>
        <v>0</v>
      </c>
      <c r="J19" s="6" t="n">
        <f aca="false">I19*Assumptions!$B$15/12</f>
        <v>0</v>
      </c>
      <c r="K19" s="6" t="n">
        <f aca="false">IF(A19-$J$7+1&gt;Assumptions!$B$16,MIN(MAX($J$8-J19,0),I19),0)</f>
        <v>0</v>
      </c>
      <c r="L19" s="6" t="n">
        <f aca="false">I19-K19</f>
        <v>0</v>
      </c>
      <c r="M19" s="2"/>
      <c r="N19" s="2"/>
      <c r="O19" s="6" t="n">
        <f aca="false">IF(A19=$P$7,$P$6,IF(A19&gt;$P$7,R18,0))</f>
        <v>0</v>
      </c>
      <c r="P19" s="6" t="n">
        <f aca="false">O19*Assumptions!$B$15/12</f>
        <v>0</v>
      </c>
      <c r="Q19" s="6" t="n">
        <f aca="false">IF(A19-$P$7+1&gt;Assumptions!$B$16,MIN(MAX($P$8-P19,0),O19),0)</f>
        <v>0</v>
      </c>
      <c r="R19" s="6" t="n">
        <f aca="false">O19-Q19</f>
        <v>0</v>
      </c>
    </row>
    <row r="20" customFormat="false" ht="15" hidden="false" customHeight="false" outlineLevel="0" collapsed="false">
      <c r="A20" s="28" t="n">
        <v>10</v>
      </c>
      <c r="B20" s="29" t="n">
        <f aca="false">2027+INT((A20-1)/12)</f>
        <v>2027</v>
      </c>
      <c r="C20" s="6" t="n">
        <f aca="false">IF(A20=$D$7,$D$6,IF(A20&gt;$D$7,F19,0))</f>
        <v>51948000</v>
      </c>
      <c r="D20" s="6" t="n">
        <f aca="false">C20*Assumptions!$B$15/12</f>
        <v>519480</v>
      </c>
      <c r="E20" s="6" t="n">
        <f aca="false">IF(A20-$D$7+1&gt;Assumptions!$B$16,MIN(MAX($D$8-D20,0),C20),0)</f>
        <v>0</v>
      </c>
      <c r="F20" s="6" t="n">
        <f aca="false">C20-E20</f>
        <v>51948000</v>
      </c>
      <c r="G20" s="2"/>
      <c r="H20" s="2"/>
      <c r="I20" s="6" t="n">
        <f aca="false">IF(A20=$J$7,$J$6,IF(A20&gt;$J$7,L19,0))</f>
        <v>0</v>
      </c>
      <c r="J20" s="6" t="n">
        <f aca="false">I20*Assumptions!$B$15/12</f>
        <v>0</v>
      </c>
      <c r="K20" s="6" t="n">
        <f aca="false">IF(A20-$J$7+1&gt;Assumptions!$B$16,MIN(MAX($J$8-J20,0),I20),0)</f>
        <v>0</v>
      </c>
      <c r="L20" s="6" t="n">
        <f aca="false">I20-K20</f>
        <v>0</v>
      </c>
      <c r="M20" s="2"/>
      <c r="N20" s="2"/>
      <c r="O20" s="6" t="n">
        <f aca="false">IF(A20=$P$7,$P$6,IF(A20&gt;$P$7,R19,0))</f>
        <v>0</v>
      </c>
      <c r="P20" s="6" t="n">
        <f aca="false">O20*Assumptions!$B$15/12</f>
        <v>0</v>
      </c>
      <c r="Q20" s="6" t="n">
        <f aca="false">IF(A20-$P$7+1&gt;Assumptions!$B$16,MIN(MAX($P$8-P20,0),O20),0)</f>
        <v>0</v>
      </c>
      <c r="R20" s="6" t="n">
        <f aca="false">O20-Q20</f>
        <v>0</v>
      </c>
    </row>
    <row r="21" customFormat="false" ht="15" hidden="false" customHeight="false" outlineLevel="0" collapsed="false">
      <c r="A21" s="28" t="n">
        <v>11</v>
      </c>
      <c r="B21" s="29" t="n">
        <f aca="false">2027+INT((A21-1)/12)</f>
        <v>2027</v>
      </c>
      <c r="C21" s="6" t="n">
        <f aca="false">IF(A21=$D$7,$D$6,IF(A21&gt;$D$7,F20,0))</f>
        <v>51948000</v>
      </c>
      <c r="D21" s="6" t="n">
        <f aca="false">C21*Assumptions!$B$15/12</f>
        <v>519480</v>
      </c>
      <c r="E21" s="6" t="n">
        <f aca="false">IF(A21-$D$7+1&gt;Assumptions!$B$16,MIN(MAX($D$8-D21,0),C21),0)</f>
        <v>0</v>
      </c>
      <c r="F21" s="6" t="n">
        <f aca="false">C21-E21</f>
        <v>51948000</v>
      </c>
      <c r="G21" s="2"/>
      <c r="H21" s="2"/>
      <c r="I21" s="6" t="n">
        <f aca="false">IF(A21=$J$7,$J$6,IF(A21&gt;$J$7,L20,0))</f>
        <v>0</v>
      </c>
      <c r="J21" s="6" t="n">
        <f aca="false">I21*Assumptions!$B$15/12</f>
        <v>0</v>
      </c>
      <c r="K21" s="6" t="n">
        <f aca="false">IF(A21-$J$7+1&gt;Assumptions!$B$16,MIN(MAX($J$8-J21,0),I21),0)</f>
        <v>0</v>
      </c>
      <c r="L21" s="6" t="n">
        <f aca="false">I21-K21</f>
        <v>0</v>
      </c>
      <c r="M21" s="2"/>
      <c r="N21" s="2"/>
      <c r="O21" s="6" t="n">
        <f aca="false">IF(A21=$P$7,$P$6,IF(A21&gt;$P$7,R20,0))</f>
        <v>0</v>
      </c>
      <c r="P21" s="6" t="n">
        <f aca="false">O21*Assumptions!$B$15/12</f>
        <v>0</v>
      </c>
      <c r="Q21" s="6" t="n">
        <f aca="false">IF(A21-$P$7+1&gt;Assumptions!$B$16,MIN(MAX($P$8-P21,0),O21),0)</f>
        <v>0</v>
      </c>
      <c r="R21" s="6" t="n">
        <f aca="false">O21-Q21</f>
        <v>0</v>
      </c>
    </row>
    <row r="22" customFormat="false" ht="15" hidden="false" customHeight="false" outlineLevel="0" collapsed="false">
      <c r="A22" s="28" t="n">
        <v>12</v>
      </c>
      <c r="B22" s="29" t="n">
        <f aca="false">2027+INT((A22-1)/12)</f>
        <v>2027</v>
      </c>
      <c r="C22" s="6" t="n">
        <f aca="false">IF(A22=$D$7,$D$6,IF(A22&gt;$D$7,F21,0))</f>
        <v>51948000</v>
      </c>
      <c r="D22" s="6" t="n">
        <f aca="false">C22*Assumptions!$B$15/12</f>
        <v>519480</v>
      </c>
      <c r="E22" s="6" t="n">
        <f aca="false">IF(A22-$D$7+1&gt;Assumptions!$B$16,MIN(MAX($D$8-D22,0),C22),0)</f>
        <v>0</v>
      </c>
      <c r="F22" s="6" t="n">
        <f aca="false">C22-E22</f>
        <v>51948000</v>
      </c>
      <c r="G22" s="2"/>
      <c r="H22" s="2"/>
      <c r="I22" s="6" t="n">
        <f aca="false">IF(A22=$J$7,$J$6,IF(A22&gt;$J$7,L21,0))</f>
        <v>0</v>
      </c>
      <c r="J22" s="6" t="n">
        <f aca="false">I22*Assumptions!$B$15/12</f>
        <v>0</v>
      </c>
      <c r="K22" s="6" t="n">
        <f aca="false">IF(A22-$J$7+1&gt;Assumptions!$B$16,MIN(MAX($J$8-J22,0),I22),0)</f>
        <v>0</v>
      </c>
      <c r="L22" s="6" t="n">
        <f aca="false">I22-K22</f>
        <v>0</v>
      </c>
      <c r="M22" s="2"/>
      <c r="N22" s="2"/>
      <c r="O22" s="6" t="n">
        <f aca="false">IF(A22=$P$7,$P$6,IF(A22&gt;$P$7,R21,0))</f>
        <v>0</v>
      </c>
      <c r="P22" s="6" t="n">
        <f aca="false">O22*Assumptions!$B$15/12</f>
        <v>0</v>
      </c>
      <c r="Q22" s="6" t="n">
        <f aca="false">IF(A22-$P$7+1&gt;Assumptions!$B$16,MIN(MAX($P$8-P22,0),O22),0)</f>
        <v>0</v>
      </c>
      <c r="R22" s="6" t="n">
        <f aca="false">O22-Q22</f>
        <v>0</v>
      </c>
    </row>
    <row r="23" customFormat="false" ht="15" hidden="false" customHeight="false" outlineLevel="0" collapsed="false">
      <c r="A23" s="28" t="n">
        <v>13</v>
      </c>
      <c r="B23" s="29" t="n">
        <f aca="false">2027+INT((A23-1)/12)</f>
        <v>2028</v>
      </c>
      <c r="C23" s="6" t="n">
        <f aca="false">IF(A23=$D$7,$D$6,IF(A23&gt;$D$7,F22,0))</f>
        <v>51948000</v>
      </c>
      <c r="D23" s="6" t="n">
        <f aca="false">C23*Assumptions!$B$15/12</f>
        <v>519480</v>
      </c>
      <c r="E23" s="6" t="n">
        <f aca="false">IF(A23-$D$7+1&gt;Assumptions!$B$16,MIN(MAX($D$8-D23,0),C23),0)</f>
        <v>636074.568335277</v>
      </c>
      <c r="F23" s="6" t="n">
        <f aca="false">C23-E23</f>
        <v>51311925.4316647</v>
      </c>
      <c r="G23" s="2"/>
      <c r="H23" s="2"/>
      <c r="I23" s="6" t="n">
        <f aca="false">IF(A23=$J$7,$J$6,IF(A23&gt;$J$7,L22,0))</f>
        <v>75757500</v>
      </c>
      <c r="J23" s="6" t="n">
        <f aca="false">I23*Assumptions!$B$15/12</f>
        <v>757575</v>
      </c>
      <c r="K23" s="6" t="n">
        <f aca="false">IF(A23-$J$7+1&gt;Assumptions!$B$16,MIN(MAX($J$8-J23,0),I23),0)</f>
        <v>0</v>
      </c>
      <c r="L23" s="6" t="n">
        <f aca="false">I23-K23</f>
        <v>75757500</v>
      </c>
      <c r="M23" s="2"/>
      <c r="N23" s="2"/>
      <c r="O23" s="6" t="n">
        <f aca="false">IF(A23=$P$7,$P$6,IF(A23&gt;$P$7,R22,0))</f>
        <v>0</v>
      </c>
      <c r="P23" s="6" t="n">
        <f aca="false">O23*Assumptions!$B$15/12</f>
        <v>0</v>
      </c>
      <c r="Q23" s="6" t="n">
        <f aca="false">IF(A23-$P$7+1&gt;Assumptions!$B$16,MIN(MAX($P$8-P23,0),O23),0)</f>
        <v>0</v>
      </c>
      <c r="R23" s="6" t="n">
        <f aca="false">O23-Q23</f>
        <v>0</v>
      </c>
    </row>
    <row r="24" customFormat="false" ht="15" hidden="false" customHeight="false" outlineLevel="0" collapsed="false">
      <c r="A24" s="28" t="n">
        <v>14</v>
      </c>
      <c r="B24" s="29" t="n">
        <f aca="false">2027+INT((A24-1)/12)</f>
        <v>2028</v>
      </c>
      <c r="C24" s="6" t="n">
        <f aca="false">IF(A24=$D$7,$D$6,IF(A24&gt;$D$7,F23,0))</f>
        <v>51311925.4316647</v>
      </c>
      <c r="D24" s="6" t="n">
        <f aca="false">C24*Assumptions!$B$15/12</f>
        <v>513119.254316647</v>
      </c>
      <c r="E24" s="6" t="n">
        <f aca="false">IF(A24-$D$7+1&gt;Assumptions!$B$16,MIN(MAX($D$8-D24,0),C24),0)</f>
        <v>642435.31401863</v>
      </c>
      <c r="F24" s="6" t="n">
        <f aca="false">C24-E24</f>
        <v>50669490.1176461</v>
      </c>
      <c r="G24" s="2"/>
      <c r="H24" s="2"/>
      <c r="I24" s="6" t="n">
        <f aca="false">IF(A24=$J$7,$J$6,IF(A24&gt;$J$7,L23,0))</f>
        <v>75757500</v>
      </c>
      <c r="J24" s="6" t="n">
        <f aca="false">I24*Assumptions!$B$15/12</f>
        <v>757575</v>
      </c>
      <c r="K24" s="6" t="n">
        <f aca="false">IF(A24-$J$7+1&gt;Assumptions!$B$16,MIN(MAX($J$8-J24,0),I24),0)</f>
        <v>0</v>
      </c>
      <c r="L24" s="6" t="n">
        <f aca="false">I24-K24</f>
        <v>75757500</v>
      </c>
      <c r="M24" s="2"/>
      <c r="N24" s="2"/>
      <c r="O24" s="6" t="n">
        <f aca="false">IF(A24=$P$7,$P$6,IF(A24&gt;$P$7,R23,0))</f>
        <v>0</v>
      </c>
      <c r="P24" s="6" t="n">
        <f aca="false">O24*Assumptions!$B$15/12</f>
        <v>0</v>
      </c>
      <c r="Q24" s="6" t="n">
        <f aca="false">IF(A24-$P$7+1&gt;Assumptions!$B$16,MIN(MAX($P$8-P24,0),O24),0)</f>
        <v>0</v>
      </c>
      <c r="R24" s="6" t="n">
        <f aca="false">O24-Q24</f>
        <v>0</v>
      </c>
    </row>
    <row r="25" customFormat="false" ht="15" hidden="false" customHeight="false" outlineLevel="0" collapsed="false">
      <c r="A25" s="28" t="n">
        <v>15</v>
      </c>
      <c r="B25" s="29" t="n">
        <f aca="false">2027+INT((A25-1)/12)</f>
        <v>2028</v>
      </c>
      <c r="C25" s="6" t="n">
        <f aca="false">IF(A25=$D$7,$D$6,IF(A25&gt;$D$7,F24,0))</f>
        <v>50669490.1176461</v>
      </c>
      <c r="D25" s="6" t="n">
        <f aca="false">C25*Assumptions!$B$15/12</f>
        <v>506694.901176461</v>
      </c>
      <c r="E25" s="6" t="n">
        <f aca="false">IF(A25-$D$7+1&gt;Assumptions!$B$16,MIN(MAX($D$8-D25,0),C25),0)</f>
        <v>648859.667158816</v>
      </c>
      <c r="F25" s="6" t="n">
        <f aca="false">C25-E25</f>
        <v>50020630.4504873</v>
      </c>
      <c r="G25" s="2"/>
      <c r="H25" s="2"/>
      <c r="I25" s="6" t="n">
        <f aca="false">IF(A25=$J$7,$J$6,IF(A25&gt;$J$7,L24,0))</f>
        <v>75757500</v>
      </c>
      <c r="J25" s="6" t="n">
        <f aca="false">I25*Assumptions!$B$15/12</f>
        <v>757575</v>
      </c>
      <c r="K25" s="6" t="n">
        <f aca="false">IF(A25-$J$7+1&gt;Assumptions!$B$16,MIN(MAX($J$8-J25,0),I25),0)</f>
        <v>0</v>
      </c>
      <c r="L25" s="6" t="n">
        <f aca="false">I25-K25</f>
        <v>75757500</v>
      </c>
      <c r="M25" s="2"/>
      <c r="N25" s="2"/>
      <c r="O25" s="6" t="n">
        <f aca="false">IF(A25=$P$7,$P$6,IF(A25&gt;$P$7,R24,0))</f>
        <v>0</v>
      </c>
      <c r="P25" s="6" t="n">
        <f aca="false">O25*Assumptions!$B$15/12</f>
        <v>0</v>
      </c>
      <c r="Q25" s="6" t="n">
        <f aca="false">IF(A25-$P$7+1&gt;Assumptions!$B$16,MIN(MAX($P$8-P25,0),O25),0)</f>
        <v>0</v>
      </c>
      <c r="R25" s="6" t="n">
        <f aca="false">O25-Q25</f>
        <v>0</v>
      </c>
    </row>
    <row r="26" customFormat="false" ht="15" hidden="false" customHeight="false" outlineLevel="0" collapsed="false">
      <c r="A26" s="28" t="n">
        <v>16</v>
      </c>
      <c r="B26" s="29" t="n">
        <f aca="false">2027+INT((A26-1)/12)</f>
        <v>2028</v>
      </c>
      <c r="C26" s="6" t="n">
        <f aca="false">IF(A26=$D$7,$D$6,IF(A26&gt;$D$7,F25,0))</f>
        <v>50020630.4504873</v>
      </c>
      <c r="D26" s="6" t="n">
        <f aca="false">C26*Assumptions!$B$15/12</f>
        <v>500206.304504873</v>
      </c>
      <c r="E26" s="6" t="n">
        <f aca="false">IF(A26-$D$7+1&gt;Assumptions!$B$16,MIN(MAX($D$8-D26,0),C26),0)</f>
        <v>655348.263830404</v>
      </c>
      <c r="F26" s="6" t="n">
        <f aca="false">C26-E26</f>
        <v>49365282.1866569</v>
      </c>
      <c r="G26" s="2"/>
      <c r="H26" s="2"/>
      <c r="I26" s="6" t="n">
        <f aca="false">IF(A26=$J$7,$J$6,IF(A26&gt;$J$7,L25,0))</f>
        <v>75757500</v>
      </c>
      <c r="J26" s="6" t="n">
        <f aca="false">I26*Assumptions!$B$15/12</f>
        <v>757575</v>
      </c>
      <c r="K26" s="6" t="n">
        <f aca="false">IF(A26-$J$7+1&gt;Assumptions!$B$16,MIN(MAX($J$8-J26,0),I26),0)</f>
        <v>0</v>
      </c>
      <c r="L26" s="6" t="n">
        <f aca="false">I26-K26</f>
        <v>75757500</v>
      </c>
      <c r="M26" s="2"/>
      <c r="N26" s="2"/>
      <c r="O26" s="6" t="n">
        <f aca="false">IF(A26=$P$7,$P$6,IF(A26&gt;$P$7,R25,0))</f>
        <v>0</v>
      </c>
      <c r="P26" s="6" t="n">
        <f aca="false">O26*Assumptions!$B$15/12</f>
        <v>0</v>
      </c>
      <c r="Q26" s="6" t="n">
        <f aca="false">IF(A26-$P$7+1&gt;Assumptions!$B$16,MIN(MAX($P$8-P26,0),O26),0)</f>
        <v>0</v>
      </c>
      <c r="R26" s="6" t="n">
        <f aca="false">O26-Q26</f>
        <v>0</v>
      </c>
    </row>
    <row r="27" customFormat="false" ht="15" hidden="false" customHeight="false" outlineLevel="0" collapsed="false">
      <c r="A27" s="28" t="n">
        <v>17</v>
      </c>
      <c r="B27" s="29" t="n">
        <f aca="false">2027+INT((A27-1)/12)</f>
        <v>2028</v>
      </c>
      <c r="C27" s="6" t="n">
        <f aca="false">IF(A27=$D$7,$D$6,IF(A27&gt;$D$7,F26,0))</f>
        <v>49365282.1866569</v>
      </c>
      <c r="D27" s="6" t="n">
        <f aca="false">C27*Assumptions!$B$15/12</f>
        <v>493652.821866569</v>
      </c>
      <c r="E27" s="6" t="n">
        <f aca="false">IF(A27-$D$7+1&gt;Assumptions!$B$16,MIN(MAX($D$8-D27,0),C27),0)</f>
        <v>661901.746468708</v>
      </c>
      <c r="F27" s="6" t="n">
        <f aca="false">C27-E27</f>
        <v>48703380.4401882</v>
      </c>
      <c r="G27" s="2"/>
      <c r="H27" s="2"/>
      <c r="I27" s="6" t="n">
        <f aca="false">IF(A27=$J$7,$J$6,IF(A27&gt;$J$7,L26,0))</f>
        <v>75757500</v>
      </c>
      <c r="J27" s="6" t="n">
        <f aca="false">I27*Assumptions!$B$15/12</f>
        <v>757575</v>
      </c>
      <c r="K27" s="6" t="n">
        <f aca="false">IF(A27-$J$7+1&gt;Assumptions!$B$16,MIN(MAX($J$8-J27,0),I27),0)</f>
        <v>0</v>
      </c>
      <c r="L27" s="6" t="n">
        <f aca="false">I27-K27</f>
        <v>75757500</v>
      </c>
      <c r="M27" s="2"/>
      <c r="N27" s="2"/>
      <c r="O27" s="6" t="n">
        <f aca="false">IF(A27=$P$7,$P$6,IF(A27&gt;$P$7,R26,0))</f>
        <v>0</v>
      </c>
      <c r="P27" s="6" t="n">
        <f aca="false">O27*Assumptions!$B$15/12</f>
        <v>0</v>
      </c>
      <c r="Q27" s="6" t="n">
        <f aca="false">IF(A27-$P$7+1&gt;Assumptions!$B$16,MIN(MAX($P$8-P27,0),O27),0)</f>
        <v>0</v>
      </c>
      <c r="R27" s="6" t="n">
        <f aca="false">O27-Q27</f>
        <v>0</v>
      </c>
    </row>
    <row r="28" customFormat="false" ht="15" hidden="false" customHeight="false" outlineLevel="0" collapsed="false">
      <c r="A28" s="28" t="n">
        <v>18</v>
      </c>
      <c r="B28" s="29" t="n">
        <f aca="false">2027+INT((A28-1)/12)</f>
        <v>2028</v>
      </c>
      <c r="C28" s="6" t="n">
        <f aca="false">IF(A28=$D$7,$D$6,IF(A28&gt;$D$7,F27,0))</f>
        <v>48703380.4401882</v>
      </c>
      <c r="D28" s="6" t="n">
        <f aca="false">C28*Assumptions!$B$15/12</f>
        <v>487033.804401882</v>
      </c>
      <c r="E28" s="6" t="n">
        <f aca="false">IF(A28-$D$7+1&gt;Assumptions!$B$16,MIN(MAX($D$8-D28,0),C28),0)</f>
        <v>668520.763933395</v>
      </c>
      <c r="F28" s="6" t="n">
        <f aca="false">C28-E28</f>
        <v>48034859.6762548</v>
      </c>
      <c r="G28" s="2"/>
      <c r="H28" s="2"/>
      <c r="I28" s="6" t="n">
        <f aca="false">IF(A28=$J$7,$J$6,IF(A28&gt;$J$7,L27,0))</f>
        <v>75757500</v>
      </c>
      <c r="J28" s="6" t="n">
        <f aca="false">I28*Assumptions!$B$15/12</f>
        <v>757575</v>
      </c>
      <c r="K28" s="6" t="n">
        <f aca="false">IF(A28-$J$7+1&gt;Assumptions!$B$16,MIN(MAX($J$8-J28,0),I28),0)</f>
        <v>0</v>
      </c>
      <c r="L28" s="6" t="n">
        <f aca="false">I28-K28</f>
        <v>75757500</v>
      </c>
      <c r="M28" s="2"/>
      <c r="N28" s="2"/>
      <c r="O28" s="6" t="n">
        <f aca="false">IF(A28=$P$7,$P$6,IF(A28&gt;$P$7,R27,0))</f>
        <v>0</v>
      </c>
      <c r="P28" s="6" t="n">
        <f aca="false">O28*Assumptions!$B$15/12</f>
        <v>0</v>
      </c>
      <c r="Q28" s="6" t="n">
        <f aca="false">IF(A28-$P$7+1&gt;Assumptions!$B$16,MIN(MAX($P$8-P28,0),O28),0)</f>
        <v>0</v>
      </c>
      <c r="R28" s="6" t="n">
        <f aca="false">O28-Q28</f>
        <v>0</v>
      </c>
    </row>
    <row r="29" customFormat="false" ht="15" hidden="false" customHeight="false" outlineLevel="0" collapsed="false">
      <c r="A29" s="28" t="n">
        <v>19</v>
      </c>
      <c r="B29" s="29" t="n">
        <f aca="false">2027+INT((A29-1)/12)</f>
        <v>2028</v>
      </c>
      <c r="C29" s="6" t="n">
        <f aca="false">IF(A29=$D$7,$D$6,IF(A29&gt;$D$7,F28,0))</f>
        <v>48034859.6762548</v>
      </c>
      <c r="D29" s="6" t="n">
        <f aca="false">C29*Assumptions!$B$15/12</f>
        <v>480348.596762548</v>
      </c>
      <c r="E29" s="6" t="n">
        <f aca="false">IF(A29-$D$7+1&gt;Assumptions!$B$16,MIN(MAX($D$8-D29,0),C29),0)</f>
        <v>675205.971572729</v>
      </c>
      <c r="F29" s="6" t="n">
        <f aca="false">C29-E29</f>
        <v>47359653.704682</v>
      </c>
      <c r="G29" s="2"/>
      <c r="H29" s="2"/>
      <c r="I29" s="6" t="n">
        <f aca="false">IF(A29=$J$7,$J$6,IF(A29&gt;$J$7,L28,0))</f>
        <v>75757500</v>
      </c>
      <c r="J29" s="6" t="n">
        <f aca="false">I29*Assumptions!$B$15/12</f>
        <v>757575</v>
      </c>
      <c r="K29" s="6" t="n">
        <f aca="false">IF(A29-$J$7+1&gt;Assumptions!$B$16,MIN(MAX($J$8-J29,0),I29),0)</f>
        <v>0</v>
      </c>
      <c r="L29" s="6" t="n">
        <f aca="false">I29-K29</f>
        <v>75757500</v>
      </c>
      <c r="M29" s="2"/>
      <c r="N29" s="2"/>
      <c r="O29" s="6" t="n">
        <f aca="false">IF(A29=$P$7,$P$6,IF(A29&gt;$P$7,R28,0))</f>
        <v>0</v>
      </c>
      <c r="P29" s="6" t="n">
        <f aca="false">O29*Assumptions!$B$15/12</f>
        <v>0</v>
      </c>
      <c r="Q29" s="6" t="n">
        <f aca="false">IF(A29-$P$7+1&gt;Assumptions!$B$16,MIN(MAX($P$8-P29,0),O29),0)</f>
        <v>0</v>
      </c>
      <c r="R29" s="6" t="n">
        <f aca="false">O29-Q29</f>
        <v>0</v>
      </c>
    </row>
    <row r="30" customFormat="false" ht="15" hidden="false" customHeight="false" outlineLevel="0" collapsed="false">
      <c r="A30" s="28" t="n">
        <v>20</v>
      </c>
      <c r="B30" s="29" t="n">
        <f aca="false">2027+INT((A30-1)/12)</f>
        <v>2028</v>
      </c>
      <c r="C30" s="6" t="n">
        <f aca="false">IF(A30=$D$7,$D$6,IF(A30&gt;$D$7,F29,0))</f>
        <v>47359653.704682</v>
      </c>
      <c r="D30" s="6" t="n">
        <f aca="false">C30*Assumptions!$B$15/12</f>
        <v>473596.53704682</v>
      </c>
      <c r="E30" s="6" t="n">
        <f aca="false">IF(A30-$D$7+1&gt;Assumptions!$B$16,MIN(MAX($D$8-D30,0),C30),0)</f>
        <v>681958.031288456</v>
      </c>
      <c r="F30" s="6" t="n">
        <f aca="false">C30-E30</f>
        <v>46677695.6733936</v>
      </c>
      <c r="G30" s="2"/>
      <c r="H30" s="2"/>
      <c r="I30" s="6" t="n">
        <f aca="false">IF(A30=$J$7,$J$6,IF(A30&gt;$J$7,L29,0))</f>
        <v>75757500</v>
      </c>
      <c r="J30" s="6" t="n">
        <f aca="false">I30*Assumptions!$B$15/12</f>
        <v>757575</v>
      </c>
      <c r="K30" s="6" t="n">
        <f aca="false">IF(A30-$J$7+1&gt;Assumptions!$B$16,MIN(MAX($J$8-J30,0),I30),0)</f>
        <v>0</v>
      </c>
      <c r="L30" s="6" t="n">
        <f aca="false">I30-K30</f>
        <v>75757500</v>
      </c>
      <c r="M30" s="2"/>
      <c r="N30" s="2"/>
      <c r="O30" s="6" t="n">
        <f aca="false">IF(A30=$P$7,$P$6,IF(A30&gt;$P$7,R29,0))</f>
        <v>0</v>
      </c>
      <c r="P30" s="6" t="n">
        <f aca="false">O30*Assumptions!$B$15/12</f>
        <v>0</v>
      </c>
      <c r="Q30" s="6" t="n">
        <f aca="false">IF(A30-$P$7+1&gt;Assumptions!$B$16,MIN(MAX($P$8-P30,0),O30),0)</f>
        <v>0</v>
      </c>
      <c r="R30" s="6" t="n">
        <f aca="false">O30-Q30</f>
        <v>0</v>
      </c>
    </row>
    <row r="31" customFormat="false" ht="15" hidden="false" customHeight="false" outlineLevel="0" collapsed="false">
      <c r="A31" s="28" t="n">
        <v>21</v>
      </c>
      <c r="B31" s="29" t="n">
        <f aca="false">2027+INT((A31-1)/12)</f>
        <v>2028</v>
      </c>
      <c r="C31" s="6" t="n">
        <f aca="false">IF(A31=$D$7,$D$6,IF(A31&gt;$D$7,F30,0))</f>
        <v>46677695.6733936</v>
      </c>
      <c r="D31" s="6" t="n">
        <f aca="false">C31*Assumptions!$B$15/12</f>
        <v>466776.956733936</v>
      </c>
      <c r="E31" s="6" t="n">
        <f aca="false">IF(A31-$D$7+1&gt;Assumptions!$B$16,MIN(MAX($D$8-D31,0),C31),0)</f>
        <v>688777.611601341</v>
      </c>
      <c r="F31" s="6" t="n">
        <f aca="false">C31-E31</f>
        <v>45988918.0617922</v>
      </c>
      <c r="G31" s="2"/>
      <c r="H31" s="2"/>
      <c r="I31" s="6" t="n">
        <f aca="false">IF(A31=$J$7,$J$6,IF(A31&gt;$J$7,L30,0))</f>
        <v>75757500</v>
      </c>
      <c r="J31" s="6" t="n">
        <f aca="false">I31*Assumptions!$B$15/12</f>
        <v>757575</v>
      </c>
      <c r="K31" s="6" t="n">
        <f aca="false">IF(A31-$J$7+1&gt;Assumptions!$B$16,MIN(MAX($J$8-J31,0),I31),0)</f>
        <v>0</v>
      </c>
      <c r="L31" s="6" t="n">
        <f aca="false">I31-K31</f>
        <v>75757500</v>
      </c>
      <c r="M31" s="2"/>
      <c r="N31" s="2"/>
      <c r="O31" s="6" t="n">
        <f aca="false">IF(A31=$P$7,$P$6,IF(A31&gt;$P$7,R30,0))</f>
        <v>0</v>
      </c>
      <c r="P31" s="6" t="n">
        <f aca="false">O31*Assumptions!$B$15/12</f>
        <v>0</v>
      </c>
      <c r="Q31" s="6" t="n">
        <f aca="false">IF(A31-$P$7+1&gt;Assumptions!$B$16,MIN(MAX($P$8-P31,0),O31),0)</f>
        <v>0</v>
      </c>
      <c r="R31" s="6" t="n">
        <f aca="false">O31-Q31</f>
        <v>0</v>
      </c>
    </row>
    <row r="32" customFormat="false" ht="15" hidden="false" customHeight="false" outlineLevel="0" collapsed="false">
      <c r="A32" s="28" t="n">
        <v>22</v>
      </c>
      <c r="B32" s="29" t="n">
        <f aca="false">2027+INT((A32-1)/12)</f>
        <v>2028</v>
      </c>
      <c r="C32" s="6" t="n">
        <f aca="false">IF(A32=$D$7,$D$6,IF(A32&gt;$D$7,F31,0))</f>
        <v>45988918.0617922</v>
      </c>
      <c r="D32" s="6" t="n">
        <f aca="false">C32*Assumptions!$B$15/12</f>
        <v>459889.180617922</v>
      </c>
      <c r="E32" s="6" t="n">
        <f aca="false">IF(A32-$D$7+1&gt;Assumptions!$B$16,MIN(MAX($D$8-D32,0),C32),0)</f>
        <v>695665.387717354</v>
      </c>
      <c r="F32" s="6" t="n">
        <f aca="false">C32-E32</f>
        <v>45293252.6740749</v>
      </c>
      <c r="G32" s="2"/>
      <c r="H32" s="2"/>
      <c r="I32" s="6" t="n">
        <f aca="false">IF(A32=$J$7,$J$6,IF(A32&gt;$J$7,L31,0))</f>
        <v>75757500</v>
      </c>
      <c r="J32" s="6" t="n">
        <f aca="false">I32*Assumptions!$B$15/12</f>
        <v>757575</v>
      </c>
      <c r="K32" s="6" t="n">
        <f aca="false">IF(A32-$J$7+1&gt;Assumptions!$B$16,MIN(MAX($J$8-J32,0),I32),0)</f>
        <v>0</v>
      </c>
      <c r="L32" s="6" t="n">
        <f aca="false">I32-K32</f>
        <v>75757500</v>
      </c>
      <c r="M32" s="2"/>
      <c r="N32" s="2"/>
      <c r="O32" s="6" t="n">
        <f aca="false">IF(A32=$P$7,$P$6,IF(A32&gt;$P$7,R31,0))</f>
        <v>0</v>
      </c>
      <c r="P32" s="6" t="n">
        <f aca="false">O32*Assumptions!$B$15/12</f>
        <v>0</v>
      </c>
      <c r="Q32" s="6" t="n">
        <f aca="false">IF(A32-$P$7+1&gt;Assumptions!$B$16,MIN(MAX($P$8-P32,0),O32),0)</f>
        <v>0</v>
      </c>
      <c r="R32" s="6" t="n">
        <f aca="false">O32-Q32</f>
        <v>0</v>
      </c>
    </row>
    <row r="33" customFormat="false" ht="15" hidden="false" customHeight="false" outlineLevel="0" collapsed="false">
      <c r="A33" s="28" t="n">
        <v>23</v>
      </c>
      <c r="B33" s="29" t="n">
        <f aca="false">2027+INT((A33-1)/12)</f>
        <v>2028</v>
      </c>
      <c r="C33" s="6" t="n">
        <f aca="false">IF(A33=$D$7,$D$6,IF(A33&gt;$D$7,F32,0))</f>
        <v>45293252.6740749</v>
      </c>
      <c r="D33" s="6" t="n">
        <f aca="false">C33*Assumptions!$B$15/12</f>
        <v>452932.526740749</v>
      </c>
      <c r="E33" s="6" t="n">
        <f aca="false">IF(A33-$D$7+1&gt;Assumptions!$B$16,MIN(MAX($D$8-D33,0),C33),0)</f>
        <v>702622.041594528</v>
      </c>
      <c r="F33" s="6" t="n">
        <f aca="false">C33-E33</f>
        <v>44590630.6324804</v>
      </c>
      <c r="G33" s="2"/>
      <c r="H33" s="2"/>
      <c r="I33" s="6" t="n">
        <f aca="false">IF(A33=$J$7,$J$6,IF(A33&gt;$J$7,L32,0))</f>
        <v>75757500</v>
      </c>
      <c r="J33" s="6" t="n">
        <f aca="false">I33*Assumptions!$B$15/12</f>
        <v>757575</v>
      </c>
      <c r="K33" s="6" t="n">
        <f aca="false">IF(A33-$J$7+1&gt;Assumptions!$B$16,MIN(MAX($J$8-J33,0),I33),0)</f>
        <v>0</v>
      </c>
      <c r="L33" s="6" t="n">
        <f aca="false">I33-K33</f>
        <v>75757500</v>
      </c>
      <c r="M33" s="2"/>
      <c r="N33" s="2"/>
      <c r="O33" s="6" t="n">
        <f aca="false">IF(A33=$P$7,$P$6,IF(A33&gt;$P$7,R32,0))</f>
        <v>0</v>
      </c>
      <c r="P33" s="6" t="n">
        <f aca="false">O33*Assumptions!$B$15/12</f>
        <v>0</v>
      </c>
      <c r="Q33" s="6" t="n">
        <f aca="false">IF(A33-$P$7+1&gt;Assumptions!$B$16,MIN(MAX($P$8-P33,0),O33),0)</f>
        <v>0</v>
      </c>
      <c r="R33" s="6" t="n">
        <f aca="false">O33-Q33</f>
        <v>0</v>
      </c>
    </row>
    <row r="34" customFormat="false" ht="15" hidden="false" customHeight="false" outlineLevel="0" collapsed="false">
      <c r="A34" s="28" t="n">
        <v>24</v>
      </c>
      <c r="B34" s="29" t="n">
        <f aca="false">2027+INT((A34-1)/12)</f>
        <v>2028</v>
      </c>
      <c r="C34" s="6" t="n">
        <f aca="false">IF(A34=$D$7,$D$6,IF(A34&gt;$D$7,F33,0))</f>
        <v>44590630.6324804</v>
      </c>
      <c r="D34" s="6" t="n">
        <f aca="false">C34*Assumptions!$B$15/12</f>
        <v>445906.306324804</v>
      </c>
      <c r="E34" s="6" t="n">
        <f aca="false">IF(A34-$D$7+1&gt;Assumptions!$B$16,MIN(MAX($D$8-D34,0),C34),0)</f>
        <v>709648.262010473</v>
      </c>
      <c r="F34" s="6" t="n">
        <f aca="false">C34-E34</f>
        <v>43880982.3704699</v>
      </c>
      <c r="G34" s="2"/>
      <c r="H34" s="2"/>
      <c r="I34" s="6" t="n">
        <f aca="false">IF(A34=$J$7,$J$6,IF(A34&gt;$J$7,L33,0))</f>
        <v>75757500</v>
      </c>
      <c r="J34" s="6" t="n">
        <f aca="false">I34*Assumptions!$B$15/12</f>
        <v>757575</v>
      </c>
      <c r="K34" s="6" t="n">
        <f aca="false">IF(A34-$J$7+1&gt;Assumptions!$B$16,MIN(MAX($J$8-J34,0),I34),0)</f>
        <v>0</v>
      </c>
      <c r="L34" s="6" t="n">
        <f aca="false">I34-K34</f>
        <v>75757500</v>
      </c>
      <c r="M34" s="2"/>
      <c r="N34" s="2"/>
      <c r="O34" s="6" t="n">
        <f aca="false">IF(A34=$P$7,$P$6,IF(A34&gt;$P$7,R33,0))</f>
        <v>0</v>
      </c>
      <c r="P34" s="6" t="n">
        <f aca="false">O34*Assumptions!$B$15/12</f>
        <v>0</v>
      </c>
      <c r="Q34" s="6" t="n">
        <f aca="false">IF(A34-$P$7+1&gt;Assumptions!$B$16,MIN(MAX($P$8-P34,0),O34),0)</f>
        <v>0</v>
      </c>
      <c r="R34" s="6" t="n">
        <f aca="false">O34-Q34</f>
        <v>0</v>
      </c>
    </row>
    <row r="35" customFormat="false" ht="15" hidden="false" customHeight="false" outlineLevel="0" collapsed="false">
      <c r="A35" s="28" t="n">
        <v>25</v>
      </c>
      <c r="B35" s="29" t="n">
        <f aca="false">2027+INT((A35-1)/12)</f>
        <v>2029</v>
      </c>
      <c r="C35" s="6" t="n">
        <f aca="false">IF(A35=$D$7,$D$6,IF(A35&gt;$D$7,F34,0))</f>
        <v>43880982.3704699</v>
      </c>
      <c r="D35" s="6" t="n">
        <f aca="false">C35*Assumptions!$B$15/12</f>
        <v>438809.823704699</v>
      </c>
      <c r="E35" s="6" t="n">
        <f aca="false">IF(A35-$D$7+1&gt;Assumptions!$B$16,MIN(MAX($D$8-D35,0),C35),0)</f>
        <v>716744.744630578</v>
      </c>
      <c r="F35" s="6" t="n">
        <f aca="false">C35-E35</f>
        <v>43164237.6258393</v>
      </c>
      <c r="G35" s="2"/>
      <c r="H35" s="2"/>
      <c r="I35" s="6" t="n">
        <f aca="false">IF(A35=$J$7,$J$6,IF(A35&gt;$J$7,L34,0))</f>
        <v>75757500</v>
      </c>
      <c r="J35" s="6" t="n">
        <f aca="false">I35*Assumptions!$B$15/12</f>
        <v>757575</v>
      </c>
      <c r="K35" s="6" t="n">
        <f aca="false">IF(A35-$J$7+1&gt;Assumptions!$B$16,MIN(MAX($J$8-J35,0),I35),0)</f>
        <v>927608.745488945</v>
      </c>
      <c r="L35" s="6" t="n">
        <f aca="false">I35-K35</f>
        <v>74829891.2545111</v>
      </c>
      <c r="M35" s="2"/>
      <c r="N35" s="2"/>
      <c r="O35" s="6" t="n">
        <f aca="false">IF(A35=$P$7,$P$6,IF(A35&gt;$P$7,R34,0))</f>
        <v>34199100</v>
      </c>
      <c r="P35" s="6" t="n">
        <f aca="false">O35*Assumptions!$B$15/12</f>
        <v>341991</v>
      </c>
      <c r="Q35" s="6" t="n">
        <f aca="false">IF(A35-$P$7+1&gt;Assumptions!$B$16,MIN(MAX($P$8-P35,0),O35),0)</f>
        <v>0</v>
      </c>
      <c r="R35" s="6" t="n">
        <f aca="false">O35-Q35</f>
        <v>34199100</v>
      </c>
    </row>
    <row r="36" customFormat="false" ht="15" hidden="false" customHeight="false" outlineLevel="0" collapsed="false">
      <c r="A36" s="28" t="n">
        <v>26</v>
      </c>
      <c r="B36" s="29" t="n">
        <f aca="false">2027+INT((A36-1)/12)</f>
        <v>2029</v>
      </c>
      <c r="C36" s="6" t="n">
        <f aca="false">IF(A36=$D$7,$D$6,IF(A36&gt;$D$7,F35,0))</f>
        <v>43164237.6258393</v>
      </c>
      <c r="D36" s="6" t="n">
        <f aca="false">C36*Assumptions!$B$15/12</f>
        <v>431642.376258393</v>
      </c>
      <c r="E36" s="6" t="n">
        <f aca="false">IF(A36-$D$7+1&gt;Assumptions!$B$16,MIN(MAX($D$8-D36,0),C36),0)</f>
        <v>723912.192076884</v>
      </c>
      <c r="F36" s="6" t="n">
        <f aca="false">C36-E36</f>
        <v>42440325.4337624</v>
      </c>
      <c r="G36" s="2"/>
      <c r="H36" s="2"/>
      <c r="I36" s="6" t="n">
        <f aca="false">IF(A36=$J$7,$J$6,IF(A36&gt;$J$7,L35,0))</f>
        <v>74829891.2545111</v>
      </c>
      <c r="J36" s="6" t="n">
        <f aca="false">I36*Assumptions!$B$15/12</f>
        <v>748298.912545111</v>
      </c>
      <c r="K36" s="6" t="n">
        <f aca="false">IF(A36-$J$7+1&gt;Assumptions!$B$16,MIN(MAX($J$8-J36,0),I36),0)</f>
        <v>936884.832943835</v>
      </c>
      <c r="L36" s="6" t="n">
        <f aca="false">I36-K36</f>
        <v>73893006.4215672</v>
      </c>
      <c r="M36" s="2"/>
      <c r="N36" s="2"/>
      <c r="O36" s="6" t="n">
        <f aca="false">IF(A36=$P$7,$P$6,IF(A36&gt;$P$7,R35,0))</f>
        <v>34199100</v>
      </c>
      <c r="P36" s="6" t="n">
        <f aca="false">O36*Assumptions!$B$15/12</f>
        <v>341991</v>
      </c>
      <c r="Q36" s="6" t="n">
        <f aca="false">IF(A36-$P$7+1&gt;Assumptions!$B$16,MIN(MAX($P$8-P36,0),O36),0)</f>
        <v>0</v>
      </c>
      <c r="R36" s="6" t="n">
        <f aca="false">O36-Q36</f>
        <v>34199100</v>
      </c>
    </row>
    <row r="37" customFormat="false" ht="15" hidden="false" customHeight="false" outlineLevel="0" collapsed="false">
      <c r="A37" s="28" t="n">
        <v>27</v>
      </c>
      <c r="B37" s="29" t="n">
        <f aca="false">2027+INT((A37-1)/12)</f>
        <v>2029</v>
      </c>
      <c r="C37" s="6" t="n">
        <f aca="false">IF(A37=$D$7,$D$6,IF(A37&gt;$D$7,F36,0))</f>
        <v>42440325.4337624</v>
      </c>
      <c r="D37" s="6" t="n">
        <f aca="false">C37*Assumptions!$B$15/12</f>
        <v>424403.254337624</v>
      </c>
      <c r="E37" s="6" t="n">
        <f aca="false">IF(A37-$D$7+1&gt;Assumptions!$B$16,MIN(MAX($D$8-D37,0),C37),0)</f>
        <v>731151.313997653</v>
      </c>
      <c r="F37" s="6" t="n">
        <f aca="false">C37-E37</f>
        <v>41709174.1197648</v>
      </c>
      <c r="G37" s="2"/>
      <c r="H37" s="2"/>
      <c r="I37" s="6" t="n">
        <f aca="false">IF(A37=$J$7,$J$6,IF(A37&gt;$J$7,L36,0))</f>
        <v>73893006.4215672</v>
      </c>
      <c r="J37" s="6" t="n">
        <f aca="false">I37*Assumptions!$B$15/12</f>
        <v>738930.064215672</v>
      </c>
      <c r="K37" s="6" t="n">
        <f aca="false">IF(A37-$J$7+1&gt;Assumptions!$B$16,MIN(MAX($J$8-J37,0),I37),0)</f>
        <v>946253.681273273</v>
      </c>
      <c r="L37" s="6" t="n">
        <f aca="false">I37-K37</f>
        <v>72946752.740294</v>
      </c>
      <c r="M37" s="2"/>
      <c r="N37" s="2"/>
      <c r="O37" s="6" t="n">
        <f aca="false">IF(A37=$P$7,$P$6,IF(A37&gt;$P$7,R36,0))</f>
        <v>34199100</v>
      </c>
      <c r="P37" s="6" t="n">
        <f aca="false">O37*Assumptions!$B$15/12</f>
        <v>341991</v>
      </c>
      <c r="Q37" s="6" t="n">
        <f aca="false">IF(A37-$P$7+1&gt;Assumptions!$B$16,MIN(MAX($P$8-P37,0),O37),0)</f>
        <v>0</v>
      </c>
      <c r="R37" s="6" t="n">
        <f aca="false">O37-Q37</f>
        <v>34199100</v>
      </c>
    </row>
    <row r="38" customFormat="false" ht="15" hidden="false" customHeight="false" outlineLevel="0" collapsed="false">
      <c r="A38" s="28" t="n">
        <v>28</v>
      </c>
      <c r="B38" s="29" t="n">
        <f aca="false">2027+INT((A38-1)/12)</f>
        <v>2029</v>
      </c>
      <c r="C38" s="6" t="n">
        <f aca="false">IF(A38=$D$7,$D$6,IF(A38&gt;$D$7,F37,0))</f>
        <v>41709174.1197648</v>
      </c>
      <c r="D38" s="6" t="n">
        <f aca="false">C38*Assumptions!$B$15/12</f>
        <v>417091.741197648</v>
      </c>
      <c r="E38" s="6" t="n">
        <f aca="false">IF(A38-$D$7+1&gt;Assumptions!$B$16,MIN(MAX($D$8-D38,0),C38),0)</f>
        <v>738462.827137629</v>
      </c>
      <c r="F38" s="6" t="n">
        <f aca="false">C38-E38</f>
        <v>40970711.2926272</v>
      </c>
      <c r="G38" s="2"/>
      <c r="H38" s="2"/>
      <c r="I38" s="6" t="n">
        <f aca="false">IF(A38=$J$7,$J$6,IF(A38&gt;$J$7,L37,0))</f>
        <v>72946752.740294</v>
      </c>
      <c r="J38" s="6" t="n">
        <f aca="false">I38*Assumptions!$B$15/12</f>
        <v>729467.527402939</v>
      </c>
      <c r="K38" s="6" t="n">
        <f aca="false">IF(A38-$J$7+1&gt;Assumptions!$B$16,MIN(MAX($J$8-J38,0),I38),0)</f>
        <v>955716.218086006</v>
      </c>
      <c r="L38" s="6" t="n">
        <f aca="false">I38-K38</f>
        <v>71991036.522208</v>
      </c>
      <c r="M38" s="2"/>
      <c r="N38" s="2"/>
      <c r="O38" s="6" t="n">
        <f aca="false">IF(A38=$P$7,$P$6,IF(A38&gt;$P$7,R37,0))</f>
        <v>34199100</v>
      </c>
      <c r="P38" s="6" t="n">
        <f aca="false">O38*Assumptions!$B$15/12</f>
        <v>341991</v>
      </c>
      <c r="Q38" s="6" t="n">
        <f aca="false">IF(A38-$P$7+1&gt;Assumptions!$B$16,MIN(MAX($P$8-P38,0),O38),0)</f>
        <v>0</v>
      </c>
      <c r="R38" s="6" t="n">
        <f aca="false">O38-Q38</f>
        <v>34199100</v>
      </c>
    </row>
    <row r="39" customFormat="false" ht="15" hidden="false" customHeight="false" outlineLevel="0" collapsed="false">
      <c r="A39" s="28" t="n">
        <v>29</v>
      </c>
      <c r="B39" s="29" t="n">
        <f aca="false">2027+INT((A39-1)/12)</f>
        <v>2029</v>
      </c>
      <c r="C39" s="6" t="n">
        <f aca="false">IF(A39=$D$7,$D$6,IF(A39&gt;$D$7,F38,0))</f>
        <v>40970711.2926272</v>
      </c>
      <c r="D39" s="6" t="n">
        <f aca="false">C39*Assumptions!$B$15/12</f>
        <v>409707.112926271</v>
      </c>
      <c r="E39" s="6" t="n">
        <f aca="false">IF(A39-$D$7+1&gt;Assumptions!$B$16,MIN(MAX($D$8-D39,0),C39),0)</f>
        <v>745847.455409005</v>
      </c>
      <c r="F39" s="6" t="n">
        <f aca="false">C39-E39</f>
        <v>40224863.8372181</v>
      </c>
      <c r="G39" s="2"/>
      <c r="H39" s="2"/>
      <c r="I39" s="6" t="n">
        <f aca="false">IF(A39=$J$7,$J$6,IF(A39&gt;$J$7,L38,0))</f>
        <v>71991036.522208</v>
      </c>
      <c r="J39" s="6" t="n">
        <f aca="false">I39*Assumptions!$B$15/12</f>
        <v>719910.365222079</v>
      </c>
      <c r="K39" s="6" t="n">
        <f aca="false">IF(A39-$J$7+1&gt;Assumptions!$B$16,MIN(MAX($J$8-J39,0),I39),0)</f>
        <v>965273.380266866</v>
      </c>
      <c r="L39" s="6" t="n">
        <f aca="false">I39-K39</f>
        <v>71025763.1419411</v>
      </c>
      <c r="M39" s="2"/>
      <c r="N39" s="2"/>
      <c r="O39" s="6" t="n">
        <f aca="false">IF(A39=$P$7,$P$6,IF(A39&gt;$P$7,R38,0))</f>
        <v>34199100</v>
      </c>
      <c r="P39" s="6" t="n">
        <f aca="false">O39*Assumptions!$B$15/12</f>
        <v>341991</v>
      </c>
      <c r="Q39" s="6" t="n">
        <f aca="false">IF(A39-$P$7+1&gt;Assumptions!$B$16,MIN(MAX($P$8-P39,0),O39),0)</f>
        <v>0</v>
      </c>
      <c r="R39" s="6" t="n">
        <f aca="false">O39-Q39</f>
        <v>34199100</v>
      </c>
    </row>
    <row r="40" customFormat="false" ht="15" hidden="false" customHeight="false" outlineLevel="0" collapsed="false">
      <c r="A40" s="28" t="n">
        <v>30</v>
      </c>
      <c r="B40" s="29" t="n">
        <f aca="false">2027+INT((A40-1)/12)</f>
        <v>2029</v>
      </c>
      <c r="C40" s="6" t="n">
        <f aca="false">IF(A40=$D$7,$D$6,IF(A40&gt;$D$7,F39,0))</f>
        <v>40224863.8372181</v>
      </c>
      <c r="D40" s="6" t="n">
        <f aca="false">C40*Assumptions!$B$15/12</f>
        <v>402248.638372181</v>
      </c>
      <c r="E40" s="6" t="n">
        <f aca="false">IF(A40-$D$7+1&gt;Assumptions!$B$16,MIN(MAX($D$8-D40,0),C40),0)</f>
        <v>753305.929963095</v>
      </c>
      <c r="F40" s="6" t="n">
        <f aca="false">C40-E40</f>
        <v>39471557.907255</v>
      </c>
      <c r="G40" s="2"/>
      <c r="H40" s="2"/>
      <c r="I40" s="6" t="n">
        <f aca="false">IF(A40=$J$7,$J$6,IF(A40&gt;$J$7,L39,0))</f>
        <v>71025763.1419411</v>
      </c>
      <c r="J40" s="6" t="n">
        <f aca="false">I40*Assumptions!$B$15/12</f>
        <v>710257.631419411</v>
      </c>
      <c r="K40" s="6" t="n">
        <f aca="false">IF(A40-$J$7+1&gt;Assumptions!$B$16,MIN(MAX($J$8-J40,0),I40),0)</f>
        <v>974926.114069534</v>
      </c>
      <c r="L40" s="6" t="n">
        <f aca="false">I40-K40</f>
        <v>70050837.0278716</v>
      </c>
      <c r="M40" s="2"/>
      <c r="N40" s="2"/>
      <c r="O40" s="6" t="n">
        <f aca="false">IF(A40=$P$7,$P$6,IF(A40&gt;$P$7,R39,0))</f>
        <v>34199100</v>
      </c>
      <c r="P40" s="6" t="n">
        <f aca="false">O40*Assumptions!$B$15/12</f>
        <v>341991</v>
      </c>
      <c r="Q40" s="6" t="n">
        <f aca="false">IF(A40-$P$7+1&gt;Assumptions!$B$16,MIN(MAX($P$8-P40,0),O40),0)</f>
        <v>0</v>
      </c>
      <c r="R40" s="6" t="n">
        <f aca="false">O40-Q40</f>
        <v>34199100</v>
      </c>
    </row>
    <row r="41" customFormat="false" ht="15" hidden="false" customHeight="false" outlineLevel="0" collapsed="false">
      <c r="A41" s="28" t="n">
        <v>31</v>
      </c>
      <c r="B41" s="29" t="n">
        <f aca="false">2027+INT((A41-1)/12)</f>
        <v>2029</v>
      </c>
      <c r="C41" s="6" t="n">
        <f aca="false">IF(A41=$D$7,$D$6,IF(A41&gt;$D$7,F40,0))</f>
        <v>39471557.907255</v>
      </c>
      <c r="D41" s="6" t="n">
        <f aca="false">C41*Assumptions!$B$15/12</f>
        <v>394715.57907255</v>
      </c>
      <c r="E41" s="6" t="n">
        <f aca="false">IF(A41-$D$7+1&gt;Assumptions!$B$16,MIN(MAX($D$8-D41,0),C41),0)</f>
        <v>760838.989262726</v>
      </c>
      <c r="F41" s="6" t="n">
        <f aca="false">C41-E41</f>
        <v>38710718.9179923</v>
      </c>
      <c r="G41" s="2"/>
      <c r="H41" s="2"/>
      <c r="I41" s="6" t="n">
        <f aca="false">IF(A41=$J$7,$J$6,IF(A41&gt;$J$7,L40,0))</f>
        <v>70050837.0278716</v>
      </c>
      <c r="J41" s="6" t="n">
        <f aca="false">I41*Assumptions!$B$15/12</f>
        <v>700508.370278716</v>
      </c>
      <c r="K41" s="6" t="n">
        <f aca="false">IF(A41-$J$7+1&gt;Assumptions!$B$16,MIN(MAX($J$8-J41,0),I41),0)</f>
        <v>984675.37521023</v>
      </c>
      <c r="L41" s="6" t="n">
        <f aca="false">I41-K41</f>
        <v>69066161.6526613</v>
      </c>
      <c r="M41" s="2"/>
      <c r="N41" s="2"/>
      <c r="O41" s="6" t="n">
        <f aca="false">IF(A41=$P$7,$P$6,IF(A41&gt;$P$7,R40,0))</f>
        <v>34199100</v>
      </c>
      <c r="P41" s="6" t="n">
        <f aca="false">O41*Assumptions!$B$15/12</f>
        <v>341991</v>
      </c>
      <c r="Q41" s="6" t="n">
        <f aca="false">IF(A41-$P$7+1&gt;Assumptions!$B$16,MIN(MAX($P$8-P41,0),O41),0)</f>
        <v>0</v>
      </c>
      <c r="R41" s="6" t="n">
        <f aca="false">O41-Q41</f>
        <v>34199100</v>
      </c>
    </row>
    <row r="42" customFormat="false" ht="15" hidden="false" customHeight="false" outlineLevel="0" collapsed="false">
      <c r="A42" s="28" t="n">
        <v>32</v>
      </c>
      <c r="B42" s="29" t="n">
        <f aca="false">2027+INT((A42-1)/12)</f>
        <v>2029</v>
      </c>
      <c r="C42" s="6" t="n">
        <f aca="false">IF(A42=$D$7,$D$6,IF(A42&gt;$D$7,F41,0))</f>
        <v>38710718.9179923</v>
      </c>
      <c r="D42" s="6" t="n">
        <f aca="false">C42*Assumptions!$B$15/12</f>
        <v>387107.189179923</v>
      </c>
      <c r="E42" s="6" t="n">
        <f aca="false">IF(A42-$D$7+1&gt;Assumptions!$B$16,MIN(MAX($D$8-D42,0),C42),0)</f>
        <v>768447.379155354</v>
      </c>
      <c r="F42" s="6" t="n">
        <f aca="false">C42-E42</f>
        <v>37942271.538837</v>
      </c>
      <c r="G42" s="2"/>
      <c r="H42" s="2"/>
      <c r="I42" s="6" t="n">
        <f aca="false">IF(A42=$J$7,$J$6,IF(A42&gt;$J$7,L41,0))</f>
        <v>69066161.6526613</v>
      </c>
      <c r="J42" s="6" t="n">
        <f aca="false">I42*Assumptions!$B$15/12</f>
        <v>690661.616526613</v>
      </c>
      <c r="K42" s="6" t="n">
        <f aca="false">IF(A42-$J$7+1&gt;Assumptions!$B$16,MIN(MAX($J$8-J42,0),I42),0)</f>
        <v>994522.128962332</v>
      </c>
      <c r="L42" s="6" t="n">
        <f aca="false">I42-K42</f>
        <v>68071639.523699</v>
      </c>
      <c r="M42" s="2"/>
      <c r="N42" s="2"/>
      <c r="O42" s="6" t="n">
        <f aca="false">IF(A42=$P$7,$P$6,IF(A42&gt;$P$7,R41,0))</f>
        <v>34199100</v>
      </c>
      <c r="P42" s="6" t="n">
        <f aca="false">O42*Assumptions!$B$15/12</f>
        <v>341991</v>
      </c>
      <c r="Q42" s="6" t="n">
        <f aca="false">IF(A42-$P$7+1&gt;Assumptions!$B$16,MIN(MAX($P$8-P42,0),O42),0)</f>
        <v>0</v>
      </c>
      <c r="R42" s="6" t="n">
        <f aca="false">O42-Q42</f>
        <v>34199100</v>
      </c>
    </row>
    <row r="43" customFormat="false" ht="15" hidden="false" customHeight="false" outlineLevel="0" collapsed="false">
      <c r="A43" s="28" t="n">
        <v>33</v>
      </c>
      <c r="B43" s="29" t="n">
        <f aca="false">2027+INT((A43-1)/12)</f>
        <v>2029</v>
      </c>
      <c r="C43" s="6" t="n">
        <f aca="false">IF(A43=$D$7,$D$6,IF(A43&gt;$D$7,F42,0))</f>
        <v>37942271.538837</v>
      </c>
      <c r="D43" s="6" t="n">
        <f aca="false">C43*Assumptions!$B$15/12</f>
        <v>379422.71538837</v>
      </c>
      <c r="E43" s="6" t="n">
        <f aca="false">IF(A43-$D$7+1&gt;Assumptions!$B$16,MIN(MAX($D$8-D43,0),C43),0)</f>
        <v>776131.852946907</v>
      </c>
      <c r="F43" s="6" t="n">
        <f aca="false">C43-E43</f>
        <v>37166139.6858901</v>
      </c>
      <c r="G43" s="2"/>
      <c r="H43" s="2"/>
      <c r="I43" s="6" t="n">
        <f aca="false">IF(A43=$J$7,$J$6,IF(A43&gt;$J$7,L42,0))</f>
        <v>68071639.523699</v>
      </c>
      <c r="J43" s="6" t="n">
        <f aca="false">I43*Assumptions!$B$15/12</f>
        <v>680716.39523699</v>
      </c>
      <c r="K43" s="6" t="n">
        <f aca="false">IF(A43-$J$7+1&gt;Assumptions!$B$16,MIN(MAX($J$8-J43,0),I43),0)</f>
        <v>1004467.35025196</v>
      </c>
      <c r="L43" s="6" t="n">
        <f aca="false">I43-K43</f>
        <v>67067172.173447</v>
      </c>
      <c r="M43" s="2"/>
      <c r="N43" s="2"/>
      <c r="O43" s="6" t="n">
        <f aca="false">IF(A43=$P$7,$P$6,IF(A43&gt;$P$7,R42,0))</f>
        <v>34199100</v>
      </c>
      <c r="P43" s="6" t="n">
        <f aca="false">O43*Assumptions!$B$15/12</f>
        <v>341991</v>
      </c>
      <c r="Q43" s="6" t="n">
        <f aca="false">IF(A43-$P$7+1&gt;Assumptions!$B$16,MIN(MAX($P$8-P43,0),O43),0)</f>
        <v>0</v>
      </c>
      <c r="R43" s="6" t="n">
        <f aca="false">O43-Q43</f>
        <v>34199100</v>
      </c>
    </row>
    <row r="44" customFormat="false" ht="15" hidden="false" customHeight="false" outlineLevel="0" collapsed="false">
      <c r="A44" s="28" t="n">
        <v>34</v>
      </c>
      <c r="B44" s="29" t="n">
        <f aca="false">2027+INT((A44-1)/12)</f>
        <v>2029</v>
      </c>
      <c r="C44" s="6" t="n">
        <f aca="false">IF(A44=$D$7,$D$6,IF(A44&gt;$D$7,F43,0))</f>
        <v>37166139.6858901</v>
      </c>
      <c r="D44" s="6" t="n">
        <f aca="false">C44*Assumptions!$B$15/12</f>
        <v>371661.396858901</v>
      </c>
      <c r="E44" s="6" t="n">
        <f aca="false">IF(A44-$D$7+1&gt;Assumptions!$B$16,MIN(MAX($D$8-D44,0),C44),0)</f>
        <v>783893.171476376</v>
      </c>
      <c r="F44" s="6" t="n">
        <f aca="false">C44-E44</f>
        <v>36382246.5144137</v>
      </c>
      <c r="G44" s="2"/>
      <c r="H44" s="2"/>
      <c r="I44" s="6" t="n">
        <f aca="false">IF(A44=$J$7,$J$6,IF(A44&gt;$J$7,L43,0))</f>
        <v>67067172.173447</v>
      </c>
      <c r="J44" s="6" t="n">
        <f aca="false">I44*Assumptions!$B$15/12</f>
        <v>670671.72173447</v>
      </c>
      <c r="K44" s="6" t="n">
        <f aca="false">IF(A44-$J$7+1&gt;Assumptions!$B$16,MIN(MAX($J$8-J44,0),I44),0)</f>
        <v>1014512.02375447</v>
      </c>
      <c r="L44" s="6" t="n">
        <f aca="false">I44-K44</f>
        <v>66052660.1496926</v>
      </c>
      <c r="M44" s="2"/>
      <c r="N44" s="2"/>
      <c r="O44" s="6" t="n">
        <f aca="false">IF(A44=$P$7,$P$6,IF(A44&gt;$P$7,R43,0))</f>
        <v>34199100</v>
      </c>
      <c r="P44" s="6" t="n">
        <f aca="false">O44*Assumptions!$B$15/12</f>
        <v>341991</v>
      </c>
      <c r="Q44" s="6" t="n">
        <f aca="false">IF(A44-$P$7+1&gt;Assumptions!$B$16,MIN(MAX($P$8-P44,0),O44),0)</f>
        <v>0</v>
      </c>
      <c r="R44" s="6" t="n">
        <f aca="false">O44-Q44</f>
        <v>34199100</v>
      </c>
    </row>
    <row r="45" customFormat="false" ht="15" hidden="false" customHeight="false" outlineLevel="0" collapsed="false">
      <c r="A45" s="28" t="n">
        <v>35</v>
      </c>
      <c r="B45" s="29" t="n">
        <f aca="false">2027+INT((A45-1)/12)</f>
        <v>2029</v>
      </c>
      <c r="C45" s="6" t="n">
        <f aca="false">IF(A45=$D$7,$D$6,IF(A45&gt;$D$7,F44,0))</f>
        <v>36382246.5144137</v>
      </c>
      <c r="D45" s="6" t="n">
        <f aca="false">C45*Assumptions!$B$15/12</f>
        <v>363822.465144137</v>
      </c>
      <c r="E45" s="6" t="n">
        <f aca="false">IF(A45-$D$7+1&gt;Assumptions!$B$16,MIN(MAX($D$8-D45,0),C45),0)</f>
        <v>791732.10319114</v>
      </c>
      <c r="F45" s="6" t="n">
        <f aca="false">C45-E45</f>
        <v>35590514.4112225</v>
      </c>
      <c r="G45" s="2"/>
      <c r="H45" s="2"/>
      <c r="I45" s="6" t="n">
        <f aca="false">IF(A45=$J$7,$J$6,IF(A45&gt;$J$7,L44,0))</f>
        <v>66052660.1496926</v>
      </c>
      <c r="J45" s="6" t="n">
        <f aca="false">I45*Assumptions!$B$15/12</f>
        <v>660526.601496926</v>
      </c>
      <c r="K45" s="6" t="n">
        <f aca="false">IF(A45-$J$7+1&gt;Assumptions!$B$16,MIN(MAX($J$8-J45,0),I45),0)</f>
        <v>1024657.14399202</v>
      </c>
      <c r="L45" s="6" t="n">
        <f aca="false">I45-K45</f>
        <v>65028003.0057005</v>
      </c>
      <c r="M45" s="2"/>
      <c r="N45" s="2"/>
      <c r="O45" s="6" t="n">
        <f aca="false">IF(A45=$P$7,$P$6,IF(A45&gt;$P$7,R44,0))</f>
        <v>34199100</v>
      </c>
      <c r="P45" s="6" t="n">
        <f aca="false">O45*Assumptions!$B$15/12</f>
        <v>341991</v>
      </c>
      <c r="Q45" s="6" t="n">
        <f aca="false">IF(A45-$P$7+1&gt;Assumptions!$B$16,MIN(MAX($P$8-P45,0),O45),0)</f>
        <v>0</v>
      </c>
      <c r="R45" s="6" t="n">
        <f aca="false">O45-Q45</f>
        <v>34199100</v>
      </c>
    </row>
    <row r="46" customFormat="false" ht="15" hidden="false" customHeight="false" outlineLevel="0" collapsed="false">
      <c r="A46" s="28" t="n">
        <v>36</v>
      </c>
      <c r="B46" s="29" t="n">
        <f aca="false">2027+INT((A46-1)/12)</f>
        <v>2029</v>
      </c>
      <c r="C46" s="6" t="n">
        <f aca="false">IF(A46=$D$7,$D$6,IF(A46&gt;$D$7,F45,0))</f>
        <v>35590514.4112225</v>
      </c>
      <c r="D46" s="6" t="n">
        <f aca="false">C46*Assumptions!$B$15/12</f>
        <v>355905.144112225</v>
      </c>
      <c r="E46" s="6" t="n">
        <f aca="false">IF(A46-$D$7+1&gt;Assumptions!$B$16,MIN(MAX($D$8-D46,0),C46),0)</f>
        <v>799649.424223051</v>
      </c>
      <c r="F46" s="6" t="n">
        <f aca="false">C46-E46</f>
        <v>34790864.9869995</v>
      </c>
      <c r="G46" s="2"/>
      <c r="H46" s="2"/>
      <c r="I46" s="6" t="n">
        <f aca="false">IF(A46=$J$7,$J$6,IF(A46&gt;$J$7,L45,0))</f>
        <v>65028003.0057005</v>
      </c>
      <c r="J46" s="6" t="n">
        <f aca="false">I46*Assumptions!$B$15/12</f>
        <v>650280.030057005</v>
      </c>
      <c r="K46" s="6" t="n">
        <f aca="false">IF(A46-$J$7+1&gt;Assumptions!$B$16,MIN(MAX($J$8-J46,0),I46),0)</f>
        <v>1034903.71543194</v>
      </c>
      <c r="L46" s="6" t="n">
        <f aca="false">I46-K46</f>
        <v>63993099.2902686</v>
      </c>
      <c r="M46" s="2"/>
      <c r="N46" s="2"/>
      <c r="O46" s="6" t="n">
        <f aca="false">IF(A46=$P$7,$P$6,IF(A46&gt;$P$7,R45,0))</f>
        <v>34199100</v>
      </c>
      <c r="P46" s="6" t="n">
        <f aca="false">O46*Assumptions!$B$15/12</f>
        <v>341991</v>
      </c>
      <c r="Q46" s="6" t="n">
        <f aca="false">IF(A46-$P$7+1&gt;Assumptions!$B$16,MIN(MAX($P$8-P46,0),O46),0)</f>
        <v>0</v>
      </c>
      <c r="R46" s="6" t="n">
        <f aca="false">O46-Q46</f>
        <v>34199100</v>
      </c>
    </row>
    <row r="47" customFormat="false" ht="15" hidden="false" customHeight="false" outlineLevel="0" collapsed="false">
      <c r="A47" s="28" t="n">
        <v>37</v>
      </c>
      <c r="B47" s="29" t="n">
        <f aca="false">2027+INT((A47-1)/12)</f>
        <v>2030</v>
      </c>
      <c r="C47" s="6" t="n">
        <f aca="false">IF(A47=$D$7,$D$6,IF(A47&gt;$D$7,F46,0))</f>
        <v>34790864.9869995</v>
      </c>
      <c r="D47" s="6" t="n">
        <f aca="false">C47*Assumptions!$B$15/12</f>
        <v>347908.649869995</v>
      </c>
      <c r="E47" s="6" t="n">
        <f aca="false">IF(A47-$D$7+1&gt;Assumptions!$B$16,MIN(MAX($D$8-D47,0),C47),0)</f>
        <v>807645.918465282</v>
      </c>
      <c r="F47" s="6" t="n">
        <f aca="false">C47-E47</f>
        <v>33983219.0685342</v>
      </c>
      <c r="G47" s="2"/>
      <c r="H47" s="2"/>
      <c r="I47" s="6" t="n">
        <f aca="false">IF(A47=$J$7,$J$6,IF(A47&gt;$J$7,L46,0))</f>
        <v>63993099.2902686</v>
      </c>
      <c r="J47" s="6" t="n">
        <f aca="false">I47*Assumptions!$B$15/12</f>
        <v>639930.992902686</v>
      </c>
      <c r="K47" s="6" t="n">
        <f aca="false">IF(A47-$J$7+1&gt;Assumptions!$B$16,MIN(MAX($J$8-J47,0),I47),0)</f>
        <v>1045252.75258626</v>
      </c>
      <c r="L47" s="6" t="n">
        <f aca="false">I47-K47</f>
        <v>62947846.5376823</v>
      </c>
      <c r="M47" s="2"/>
      <c r="N47" s="2"/>
      <c r="O47" s="6" t="n">
        <f aca="false">IF(A47=$P$7,$P$6,IF(A47&gt;$P$7,R46,0))</f>
        <v>34199100</v>
      </c>
      <c r="P47" s="6" t="n">
        <f aca="false">O47*Assumptions!$B$15/12</f>
        <v>341991</v>
      </c>
      <c r="Q47" s="6" t="n">
        <f aca="false">IF(A47-$P$7+1&gt;Assumptions!$B$16,MIN(MAX($P$8-P47,0),O47),0)</f>
        <v>418749.090820724</v>
      </c>
      <c r="R47" s="6" t="n">
        <f aca="false">O47-Q47</f>
        <v>33780350.9091793</v>
      </c>
    </row>
    <row r="48" customFormat="false" ht="15" hidden="false" customHeight="false" outlineLevel="0" collapsed="false">
      <c r="A48" s="28" t="n">
        <v>38</v>
      </c>
      <c r="B48" s="29" t="n">
        <f aca="false">2027+INT((A48-1)/12)</f>
        <v>2030</v>
      </c>
      <c r="C48" s="6" t="n">
        <f aca="false">IF(A48=$D$7,$D$6,IF(A48&gt;$D$7,F47,0))</f>
        <v>33983219.0685342</v>
      </c>
      <c r="D48" s="6" t="n">
        <f aca="false">C48*Assumptions!$B$15/12</f>
        <v>339832.190685342</v>
      </c>
      <c r="E48" s="6" t="n">
        <f aca="false">IF(A48-$D$7+1&gt;Assumptions!$B$16,MIN(MAX($D$8-D48,0),C48),0)</f>
        <v>815722.377649935</v>
      </c>
      <c r="F48" s="6" t="n">
        <f aca="false">C48-E48</f>
        <v>33167496.6908843</v>
      </c>
      <c r="G48" s="2"/>
      <c r="H48" s="2"/>
      <c r="I48" s="6" t="n">
        <f aca="false">IF(A48=$J$7,$J$6,IF(A48&gt;$J$7,L47,0))</f>
        <v>62947846.5376823</v>
      </c>
      <c r="J48" s="6" t="n">
        <f aca="false">I48*Assumptions!$B$15/12</f>
        <v>629478.465376823</v>
      </c>
      <c r="K48" s="6" t="n">
        <f aca="false">IF(A48-$J$7+1&gt;Assumptions!$B$16,MIN(MAX($J$8-J48,0),I48),0)</f>
        <v>1055705.28011212</v>
      </c>
      <c r="L48" s="6" t="n">
        <f aca="false">I48-K48</f>
        <v>61892141.2575702</v>
      </c>
      <c r="M48" s="2"/>
      <c r="N48" s="2"/>
      <c r="O48" s="6" t="n">
        <f aca="false">IF(A48=$P$7,$P$6,IF(A48&gt;$P$7,R47,0))</f>
        <v>33780350.9091793</v>
      </c>
      <c r="P48" s="6" t="n">
        <f aca="false">O48*Assumptions!$B$15/12</f>
        <v>337803.509091793</v>
      </c>
      <c r="Q48" s="6" t="n">
        <f aca="false">IF(A48-$P$7+1&gt;Assumptions!$B$16,MIN(MAX($P$8-P48,0),O48),0)</f>
        <v>422936.581728931</v>
      </c>
      <c r="R48" s="6" t="n">
        <f aca="false">O48-Q48</f>
        <v>33357414.3274503</v>
      </c>
    </row>
    <row r="49" customFormat="false" ht="15" hidden="false" customHeight="false" outlineLevel="0" collapsed="false">
      <c r="A49" s="28" t="n">
        <v>39</v>
      </c>
      <c r="B49" s="29" t="n">
        <f aca="false">2027+INT((A49-1)/12)</f>
        <v>2030</v>
      </c>
      <c r="C49" s="6" t="n">
        <f aca="false">IF(A49=$D$7,$D$6,IF(A49&gt;$D$7,F48,0))</f>
        <v>33167496.6908843</v>
      </c>
      <c r="D49" s="6" t="n">
        <f aca="false">C49*Assumptions!$B$15/12</f>
        <v>331674.966908843</v>
      </c>
      <c r="E49" s="6" t="n">
        <f aca="false">IF(A49-$D$7+1&gt;Assumptions!$B$16,MIN(MAX($D$8-D49,0),C49),0)</f>
        <v>823879.601426434</v>
      </c>
      <c r="F49" s="6" t="n">
        <f aca="false">C49-E49</f>
        <v>32343617.0894578</v>
      </c>
      <c r="G49" s="2"/>
      <c r="H49" s="2"/>
      <c r="I49" s="6" t="n">
        <f aca="false">IF(A49=$J$7,$J$6,IF(A49&gt;$J$7,L48,0))</f>
        <v>61892141.2575702</v>
      </c>
      <c r="J49" s="6" t="n">
        <f aca="false">I49*Assumptions!$B$15/12</f>
        <v>618921.412575702</v>
      </c>
      <c r="K49" s="6" t="n">
        <f aca="false">IF(A49-$J$7+1&gt;Assumptions!$B$16,MIN(MAX($J$8-J49,0),I49),0)</f>
        <v>1066262.33291324</v>
      </c>
      <c r="L49" s="6" t="n">
        <f aca="false">I49-K49</f>
        <v>60825878.924657</v>
      </c>
      <c r="M49" s="2"/>
      <c r="N49" s="2"/>
      <c r="O49" s="6" t="n">
        <f aca="false">IF(A49=$P$7,$P$6,IF(A49&gt;$P$7,R48,0))</f>
        <v>33357414.3274503</v>
      </c>
      <c r="P49" s="6" t="n">
        <f aca="false">O49*Assumptions!$B$15/12</f>
        <v>333574.143274503</v>
      </c>
      <c r="Q49" s="6" t="n">
        <f aca="false">IF(A49-$P$7+1&gt;Assumptions!$B$16,MIN(MAX($P$8-P49,0),O49),0)</f>
        <v>427165.94754622</v>
      </c>
      <c r="R49" s="6" t="n">
        <f aca="false">O49-Q49</f>
        <v>32930248.3799041</v>
      </c>
    </row>
    <row r="50" customFormat="false" ht="15" hidden="false" customHeight="false" outlineLevel="0" collapsed="false">
      <c r="A50" s="28" t="n">
        <v>40</v>
      </c>
      <c r="B50" s="29" t="n">
        <f aca="false">2027+INT((A50-1)/12)</f>
        <v>2030</v>
      </c>
      <c r="C50" s="6" t="n">
        <f aca="false">IF(A50=$D$7,$D$6,IF(A50&gt;$D$7,F49,0))</f>
        <v>32343617.0894578</v>
      </c>
      <c r="D50" s="6" t="n">
        <f aca="false">C50*Assumptions!$B$15/12</f>
        <v>323436.170894578</v>
      </c>
      <c r="E50" s="6" t="n">
        <f aca="false">IF(A50-$D$7+1&gt;Assumptions!$B$16,MIN(MAX($D$8-D50,0),C50),0)</f>
        <v>832118.397440699</v>
      </c>
      <c r="F50" s="6" t="n">
        <f aca="false">C50-E50</f>
        <v>31511498.6920171</v>
      </c>
      <c r="G50" s="2"/>
      <c r="H50" s="2"/>
      <c r="I50" s="6" t="n">
        <f aca="false">IF(A50=$J$7,$J$6,IF(A50&gt;$J$7,L49,0))</f>
        <v>60825878.924657</v>
      </c>
      <c r="J50" s="6" t="n">
        <f aca="false">I50*Assumptions!$B$15/12</f>
        <v>608258.78924657</v>
      </c>
      <c r="K50" s="6" t="n">
        <f aca="false">IF(A50-$J$7+1&gt;Assumptions!$B$16,MIN(MAX($J$8-J50,0),I50),0)</f>
        <v>1076924.95624238</v>
      </c>
      <c r="L50" s="6" t="n">
        <f aca="false">I50-K50</f>
        <v>59748953.9684146</v>
      </c>
      <c r="M50" s="2"/>
      <c r="N50" s="2"/>
      <c r="O50" s="6" t="n">
        <f aca="false">IF(A50=$P$7,$P$6,IF(A50&gt;$P$7,R49,0))</f>
        <v>32930248.3799041</v>
      </c>
      <c r="P50" s="6" t="n">
        <f aca="false">O50*Assumptions!$B$15/12</f>
        <v>329302.483799041</v>
      </c>
      <c r="Q50" s="6" t="n">
        <f aca="false">IF(A50-$P$7+1&gt;Assumptions!$B$16,MIN(MAX($P$8-P50,0),O50),0)</f>
        <v>431437.607021683</v>
      </c>
      <c r="R50" s="6" t="n">
        <f aca="false">O50-Q50</f>
        <v>32498810.7728824</v>
      </c>
    </row>
    <row r="51" customFormat="false" ht="15" hidden="false" customHeight="false" outlineLevel="0" collapsed="false">
      <c r="A51" s="28" t="n">
        <v>41</v>
      </c>
      <c r="B51" s="29" t="n">
        <f aca="false">2027+INT((A51-1)/12)</f>
        <v>2030</v>
      </c>
      <c r="C51" s="6" t="n">
        <f aca="false">IF(A51=$D$7,$D$6,IF(A51&gt;$D$7,F50,0))</f>
        <v>31511498.6920171</v>
      </c>
      <c r="D51" s="6" t="n">
        <f aca="false">C51*Assumptions!$B$15/12</f>
        <v>315114.986920172</v>
      </c>
      <c r="E51" s="6" t="n">
        <f aca="false">IF(A51-$D$7+1&gt;Assumptions!$B$16,MIN(MAX($D$8-D51,0),C51),0)</f>
        <v>840439.581415105</v>
      </c>
      <c r="F51" s="6" t="n">
        <f aca="false">C51-E51</f>
        <v>30671059.110602</v>
      </c>
      <c r="G51" s="2"/>
      <c r="H51" s="2"/>
      <c r="I51" s="6" t="n">
        <f aca="false">IF(A51=$J$7,$J$6,IF(A51&gt;$J$7,L50,0))</f>
        <v>59748953.9684146</v>
      </c>
      <c r="J51" s="6" t="n">
        <f aca="false">I51*Assumptions!$B$15/12</f>
        <v>597489.539684146</v>
      </c>
      <c r="K51" s="6" t="n">
        <f aca="false">IF(A51-$J$7+1&gt;Assumptions!$B$16,MIN(MAX($J$8-J51,0),I51),0)</f>
        <v>1087694.2058048</v>
      </c>
      <c r="L51" s="6" t="n">
        <f aca="false">I51-K51</f>
        <v>58661259.7626098</v>
      </c>
      <c r="M51" s="2"/>
      <c r="N51" s="2"/>
      <c r="O51" s="6" t="n">
        <f aca="false">IF(A51=$P$7,$P$6,IF(A51&gt;$P$7,R50,0))</f>
        <v>32498810.7728824</v>
      </c>
      <c r="P51" s="6" t="n">
        <f aca="false">O51*Assumptions!$B$15/12</f>
        <v>324988.107728824</v>
      </c>
      <c r="Q51" s="6" t="n">
        <f aca="false">IF(A51-$P$7+1&gt;Assumptions!$B$16,MIN(MAX($P$8-P51,0),O51),0)</f>
        <v>435751.983091899</v>
      </c>
      <c r="R51" s="6" t="n">
        <f aca="false">O51-Q51</f>
        <v>32063058.7897905</v>
      </c>
    </row>
    <row r="52" customFormat="false" ht="15" hidden="false" customHeight="false" outlineLevel="0" collapsed="false">
      <c r="A52" s="28" t="n">
        <v>42</v>
      </c>
      <c r="B52" s="29" t="n">
        <f aca="false">2027+INT((A52-1)/12)</f>
        <v>2030</v>
      </c>
      <c r="C52" s="6" t="n">
        <f aca="false">IF(A52=$D$7,$D$6,IF(A52&gt;$D$7,F51,0))</f>
        <v>30671059.110602</v>
      </c>
      <c r="D52" s="6" t="n">
        <f aca="false">C52*Assumptions!$B$15/12</f>
        <v>306710.59110602</v>
      </c>
      <c r="E52" s="6" t="n">
        <f aca="false">IF(A52-$D$7+1&gt;Assumptions!$B$16,MIN(MAX($D$8-D52,0),C52),0)</f>
        <v>848843.977229256</v>
      </c>
      <c r="F52" s="6" t="n">
        <f aca="false">C52-E52</f>
        <v>29822215.1333728</v>
      </c>
      <c r="G52" s="2"/>
      <c r="H52" s="2"/>
      <c r="I52" s="6" t="n">
        <f aca="false">IF(A52=$J$7,$J$6,IF(A52&gt;$J$7,L51,0))</f>
        <v>58661259.7626098</v>
      </c>
      <c r="J52" s="6" t="n">
        <f aca="false">I52*Assumptions!$B$15/12</f>
        <v>586612.597626098</v>
      </c>
      <c r="K52" s="6" t="n">
        <f aca="false">IF(A52-$J$7+1&gt;Assumptions!$B$16,MIN(MAX($J$8-J52,0),I52),0)</f>
        <v>1098571.14786285</v>
      </c>
      <c r="L52" s="6" t="n">
        <f aca="false">I52-K52</f>
        <v>57562688.6147469</v>
      </c>
      <c r="M52" s="2"/>
      <c r="N52" s="2"/>
      <c r="O52" s="6" t="n">
        <f aca="false">IF(A52=$P$7,$P$6,IF(A52&gt;$P$7,R51,0))</f>
        <v>32063058.7897905</v>
      </c>
      <c r="P52" s="6" t="n">
        <f aca="false">O52*Assumptions!$B$15/12</f>
        <v>320630.587897905</v>
      </c>
      <c r="Q52" s="6" t="n">
        <f aca="false">IF(A52-$P$7+1&gt;Assumptions!$B$16,MIN(MAX($P$8-P52,0),O52),0)</f>
        <v>440109.502922818</v>
      </c>
      <c r="R52" s="6" t="n">
        <f aca="false">O52-Q52</f>
        <v>31622949.2868677</v>
      </c>
    </row>
    <row r="53" customFormat="false" ht="15" hidden="false" customHeight="false" outlineLevel="0" collapsed="false">
      <c r="A53" s="28" t="n">
        <v>43</v>
      </c>
      <c r="B53" s="29" t="n">
        <f aca="false">2027+INT((A53-1)/12)</f>
        <v>2030</v>
      </c>
      <c r="C53" s="6" t="n">
        <f aca="false">IF(A53=$D$7,$D$6,IF(A53&gt;$D$7,F52,0))</f>
        <v>29822215.1333728</v>
      </c>
      <c r="D53" s="6" t="n">
        <f aca="false">C53*Assumptions!$B$15/12</f>
        <v>298222.151333728</v>
      </c>
      <c r="E53" s="6" t="n">
        <f aca="false">IF(A53-$D$7+1&gt;Assumptions!$B$16,MIN(MAX($D$8-D53,0),C53),0)</f>
        <v>857332.417001549</v>
      </c>
      <c r="F53" s="6" t="n">
        <f aca="false">C53-E53</f>
        <v>28964882.7163712</v>
      </c>
      <c r="G53" s="2"/>
      <c r="H53" s="2"/>
      <c r="I53" s="6" t="n">
        <f aca="false">IF(A53=$J$7,$J$6,IF(A53&gt;$J$7,L52,0))</f>
        <v>57562688.6147469</v>
      </c>
      <c r="J53" s="6" t="n">
        <f aca="false">I53*Assumptions!$B$15/12</f>
        <v>575626.886147469</v>
      </c>
      <c r="K53" s="6" t="n">
        <f aca="false">IF(A53-$J$7+1&gt;Assumptions!$B$16,MIN(MAX($J$8-J53,0),I53),0)</f>
        <v>1109556.85934148</v>
      </c>
      <c r="L53" s="6" t="n">
        <f aca="false">I53-K53</f>
        <v>56453131.7554055</v>
      </c>
      <c r="M53" s="2"/>
      <c r="N53" s="2"/>
      <c r="O53" s="6" t="n">
        <f aca="false">IF(A53=$P$7,$P$6,IF(A53&gt;$P$7,R52,0))</f>
        <v>31622949.2868677</v>
      </c>
      <c r="P53" s="6" t="n">
        <f aca="false">O53*Assumptions!$B$15/12</f>
        <v>316229.492868677</v>
      </c>
      <c r="Q53" s="6" t="n">
        <f aca="false">IF(A53-$P$7+1&gt;Assumptions!$B$16,MIN(MAX($P$8-P53,0),O53),0)</f>
        <v>444510.597952047</v>
      </c>
      <c r="R53" s="6" t="n">
        <f aca="false">O53-Q53</f>
        <v>31178438.6889157</v>
      </c>
    </row>
    <row r="54" customFormat="false" ht="15" hidden="false" customHeight="false" outlineLevel="0" collapsed="false">
      <c r="A54" s="28" t="n">
        <v>44</v>
      </c>
      <c r="B54" s="29" t="n">
        <f aca="false">2027+INT((A54-1)/12)</f>
        <v>2030</v>
      </c>
      <c r="C54" s="6" t="n">
        <f aca="false">IF(A54=$D$7,$D$6,IF(A54&gt;$D$7,F53,0))</f>
        <v>28964882.7163712</v>
      </c>
      <c r="D54" s="6" t="n">
        <f aca="false">C54*Assumptions!$B$15/12</f>
        <v>289648.827163712</v>
      </c>
      <c r="E54" s="6" t="n">
        <f aca="false">IF(A54-$D$7+1&gt;Assumptions!$B$16,MIN(MAX($D$8-D54,0),C54),0)</f>
        <v>865905.741171564</v>
      </c>
      <c r="F54" s="6" t="n">
        <f aca="false">C54-E54</f>
        <v>28098976.9751997</v>
      </c>
      <c r="G54" s="2"/>
      <c r="H54" s="2"/>
      <c r="I54" s="6" t="n">
        <f aca="false">IF(A54=$J$7,$J$6,IF(A54&gt;$J$7,L53,0))</f>
        <v>56453131.7554055</v>
      </c>
      <c r="J54" s="6" t="n">
        <f aca="false">I54*Assumptions!$B$15/12</f>
        <v>564531.317554055</v>
      </c>
      <c r="K54" s="6" t="n">
        <f aca="false">IF(A54-$J$7+1&gt;Assumptions!$B$16,MIN(MAX($J$8-J54,0),I54),0)</f>
        <v>1120652.42793489</v>
      </c>
      <c r="L54" s="6" t="n">
        <f aca="false">I54-K54</f>
        <v>55332479.3274706</v>
      </c>
      <c r="M54" s="2"/>
      <c r="N54" s="2"/>
      <c r="O54" s="6" t="n">
        <f aca="false">IF(A54=$P$7,$P$6,IF(A54&gt;$P$7,R53,0))</f>
        <v>31178438.6889157</v>
      </c>
      <c r="P54" s="6" t="n">
        <f aca="false">O54*Assumptions!$B$15/12</f>
        <v>311784.386889157</v>
      </c>
      <c r="Q54" s="6" t="n">
        <f aca="false">IF(A54-$P$7+1&gt;Assumptions!$B$16,MIN(MAX($P$8-P54,0),O54),0)</f>
        <v>448955.703931567</v>
      </c>
      <c r="R54" s="6" t="n">
        <f aca="false">O54-Q54</f>
        <v>30729482.9849841</v>
      </c>
    </row>
    <row r="55" customFormat="false" ht="15" hidden="false" customHeight="false" outlineLevel="0" collapsed="false">
      <c r="A55" s="28" t="n">
        <v>45</v>
      </c>
      <c r="B55" s="29" t="n">
        <f aca="false">2027+INT((A55-1)/12)</f>
        <v>2030</v>
      </c>
      <c r="C55" s="6" t="n">
        <f aca="false">IF(A55=$D$7,$D$6,IF(A55&gt;$D$7,F54,0))</f>
        <v>28098976.9751997</v>
      </c>
      <c r="D55" s="6" t="n">
        <f aca="false">C55*Assumptions!$B$15/12</f>
        <v>280989.769751997</v>
      </c>
      <c r="E55" s="6" t="n">
        <f aca="false">IF(A55-$D$7+1&gt;Assumptions!$B$16,MIN(MAX($D$8-D55,0),C55),0)</f>
        <v>874564.79858328</v>
      </c>
      <c r="F55" s="6" t="n">
        <f aca="false">C55-E55</f>
        <v>27224412.1766164</v>
      </c>
      <c r="G55" s="2"/>
      <c r="H55" s="2"/>
      <c r="I55" s="6" t="n">
        <f aca="false">IF(A55=$J$7,$J$6,IF(A55&gt;$J$7,L54,0))</f>
        <v>55332479.3274706</v>
      </c>
      <c r="J55" s="6" t="n">
        <f aca="false">I55*Assumptions!$B$15/12</f>
        <v>553324.793274706</v>
      </c>
      <c r="K55" s="6" t="n">
        <f aca="false">IF(A55-$J$7+1&gt;Assumptions!$B$16,MIN(MAX($J$8-J55,0),I55),0)</f>
        <v>1131858.95221424</v>
      </c>
      <c r="L55" s="6" t="n">
        <f aca="false">I55-K55</f>
        <v>54200620.3752563</v>
      </c>
      <c r="M55" s="2"/>
      <c r="N55" s="2"/>
      <c r="O55" s="6" t="n">
        <f aca="false">IF(A55=$P$7,$P$6,IF(A55&gt;$P$7,R54,0))</f>
        <v>30729482.9849841</v>
      </c>
      <c r="P55" s="6" t="n">
        <f aca="false">O55*Assumptions!$B$15/12</f>
        <v>307294.829849841</v>
      </c>
      <c r="Q55" s="6" t="n">
        <f aca="false">IF(A55-$P$7+1&gt;Assumptions!$B$16,MIN(MAX($P$8-P55,0),O55),0)</f>
        <v>453445.260970883</v>
      </c>
      <c r="R55" s="6" t="n">
        <f aca="false">O55-Q55</f>
        <v>30276037.7240132</v>
      </c>
    </row>
    <row r="56" customFormat="false" ht="15" hidden="false" customHeight="false" outlineLevel="0" collapsed="false">
      <c r="A56" s="28" t="n">
        <v>46</v>
      </c>
      <c r="B56" s="29" t="n">
        <f aca="false">2027+INT((A56-1)/12)</f>
        <v>2030</v>
      </c>
      <c r="C56" s="6" t="n">
        <f aca="false">IF(A56=$D$7,$D$6,IF(A56&gt;$D$7,F55,0))</f>
        <v>27224412.1766164</v>
      </c>
      <c r="D56" s="6" t="n">
        <f aca="false">C56*Assumptions!$B$15/12</f>
        <v>272244.121766164</v>
      </c>
      <c r="E56" s="6" t="n">
        <f aca="false">IF(A56-$D$7+1&gt;Assumptions!$B$16,MIN(MAX($D$8-D56,0),C56),0)</f>
        <v>883310.446569113</v>
      </c>
      <c r="F56" s="6" t="n">
        <f aca="false">C56-E56</f>
        <v>26341101.7300473</v>
      </c>
      <c r="G56" s="2"/>
      <c r="H56" s="2"/>
      <c r="I56" s="6" t="n">
        <f aca="false">IF(A56=$J$7,$J$6,IF(A56&gt;$J$7,L55,0))</f>
        <v>54200620.3752563</v>
      </c>
      <c r="J56" s="6" t="n">
        <f aca="false">I56*Assumptions!$B$15/12</f>
        <v>542006.203752563</v>
      </c>
      <c r="K56" s="6" t="n">
        <f aca="false">IF(A56-$J$7+1&gt;Assumptions!$B$16,MIN(MAX($J$8-J56,0),I56),0)</f>
        <v>1143177.54173638</v>
      </c>
      <c r="L56" s="6" t="n">
        <f aca="false">I56-K56</f>
        <v>53057442.83352</v>
      </c>
      <c r="M56" s="2"/>
      <c r="N56" s="2"/>
      <c r="O56" s="6" t="n">
        <f aca="false">IF(A56=$P$7,$P$6,IF(A56&gt;$P$7,R55,0))</f>
        <v>30276037.7240132</v>
      </c>
      <c r="P56" s="6" t="n">
        <f aca="false">O56*Assumptions!$B$15/12</f>
        <v>302760.377240132</v>
      </c>
      <c r="Q56" s="6" t="n">
        <f aca="false">IF(A56-$P$7+1&gt;Assumptions!$B$16,MIN(MAX($P$8-P56,0),O56),0)</f>
        <v>457979.713580592</v>
      </c>
      <c r="R56" s="6" t="n">
        <f aca="false">O56-Q56</f>
        <v>29818058.0104326</v>
      </c>
    </row>
    <row r="57" customFormat="false" ht="15" hidden="false" customHeight="false" outlineLevel="0" collapsed="false">
      <c r="A57" s="28" t="n">
        <v>47</v>
      </c>
      <c r="B57" s="29" t="n">
        <f aca="false">2027+INT((A57-1)/12)</f>
        <v>2030</v>
      </c>
      <c r="C57" s="6" t="n">
        <f aca="false">IF(A57=$D$7,$D$6,IF(A57&gt;$D$7,F56,0))</f>
        <v>26341101.7300473</v>
      </c>
      <c r="D57" s="6" t="n">
        <f aca="false">C57*Assumptions!$B$15/12</f>
        <v>263411.017300473</v>
      </c>
      <c r="E57" s="6" t="n">
        <f aca="false">IF(A57-$D$7+1&gt;Assumptions!$B$16,MIN(MAX($D$8-D57,0),C57),0)</f>
        <v>892143.551034804</v>
      </c>
      <c r="F57" s="6" t="n">
        <f aca="false">C57-E57</f>
        <v>25448958.1790125</v>
      </c>
      <c r="G57" s="2"/>
      <c r="H57" s="2"/>
      <c r="I57" s="6" t="n">
        <f aca="false">IF(A57=$J$7,$J$6,IF(A57&gt;$J$7,L56,0))</f>
        <v>53057442.83352</v>
      </c>
      <c r="J57" s="6" t="n">
        <f aca="false">I57*Assumptions!$B$15/12</f>
        <v>530574.4283352</v>
      </c>
      <c r="K57" s="6" t="n">
        <f aca="false">IF(A57-$J$7+1&gt;Assumptions!$B$16,MIN(MAX($J$8-J57,0),I57),0)</f>
        <v>1154609.31715375</v>
      </c>
      <c r="L57" s="6" t="n">
        <f aca="false">I57-K57</f>
        <v>51902833.5163662</v>
      </c>
      <c r="M57" s="2"/>
      <c r="N57" s="2"/>
      <c r="O57" s="6" t="n">
        <f aca="false">IF(A57=$P$7,$P$6,IF(A57&gt;$P$7,R56,0))</f>
        <v>29818058.0104326</v>
      </c>
      <c r="P57" s="6" t="n">
        <f aca="false">O57*Assumptions!$B$15/12</f>
        <v>298180.580104326</v>
      </c>
      <c r="Q57" s="6" t="n">
        <f aca="false">IF(A57-$P$7+1&gt;Assumptions!$B$16,MIN(MAX($P$8-P57,0),O57),0)</f>
        <v>462559.510716397</v>
      </c>
      <c r="R57" s="6" t="n">
        <f aca="false">O57-Q57</f>
        <v>29355498.4997162</v>
      </c>
    </row>
    <row r="58" customFormat="false" ht="15" hidden="false" customHeight="false" outlineLevel="0" collapsed="false">
      <c r="A58" s="28" t="n">
        <v>48</v>
      </c>
      <c r="B58" s="29" t="n">
        <f aca="false">2027+INT((A58-1)/12)</f>
        <v>2030</v>
      </c>
      <c r="C58" s="6" t="n">
        <f aca="false">IF(A58=$D$7,$D$6,IF(A58&gt;$D$7,F57,0))</f>
        <v>25448958.1790125</v>
      </c>
      <c r="D58" s="6" t="n">
        <f aca="false">C58*Assumptions!$B$15/12</f>
        <v>254489.581790125</v>
      </c>
      <c r="E58" s="6" t="n">
        <f aca="false">IF(A58-$D$7+1&gt;Assumptions!$B$16,MIN(MAX($D$8-D58,0),C58),0)</f>
        <v>901064.986545152</v>
      </c>
      <c r="F58" s="6" t="n">
        <f aca="false">C58-E58</f>
        <v>24547893.1924673</v>
      </c>
      <c r="G58" s="2"/>
      <c r="H58" s="2"/>
      <c r="I58" s="6" t="n">
        <f aca="false">IF(A58=$J$7,$J$6,IF(A58&gt;$J$7,L57,0))</f>
        <v>51902833.5163662</v>
      </c>
      <c r="J58" s="6" t="n">
        <f aca="false">I58*Assumptions!$B$15/12</f>
        <v>519028.335163662</v>
      </c>
      <c r="K58" s="6" t="n">
        <f aca="false">IF(A58-$J$7+1&gt;Assumptions!$B$16,MIN(MAX($J$8-J58,0),I58),0)</f>
        <v>1166155.41032528</v>
      </c>
      <c r="L58" s="6" t="n">
        <f aca="false">I58-K58</f>
        <v>50736678.1060409</v>
      </c>
      <c r="M58" s="2"/>
      <c r="N58" s="2"/>
      <c r="O58" s="6" t="n">
        <f aca="false">IF(A58=$P$7,$P$6,IF(A58&gt;$P$7,R57,0))</f>
        <v>29355498.4997162</v>
      </c>
      <c r="P58" s="6" t="n">
        <f aca="false">O58*Assumptions!$B$15/12</f>
        <v>293554.984997162</v>
      </c>
      <c r="Q58" s="6" t="n">
        <f aca="false">IF(A58-$P$7+1&gt;Assumptions!$B$16,MIN(MAX($P$8-P58,0),O58),0)</f>
        <v>467185.105823561</v>
      </c>
      <c r="R58" s="6" t="n">
        <f aca="false">O58-Q58</f>
        <v>28888313.3938927</v>
      </c>
    </row>
    <row r="59" customFormat="false" ht="15" hidden="false" customHeight="false" outlineLevel="0" collapsed="false">
      <c r="A59" s="28" t="n">
        <v>49</v>
      </c>
      <c r="B59" s="29" t="n">
        <f aca="false">2027+INT((A59-1)/12)</f>
        <v>2031</v>
      </c>
      <c r="C59" s="6" t="n">
        <f aca="false">IF(A59=$D$7,$D$6,IF(A59&gt;$D$7,F58,0))</f>
        <v>24547893.1924673</v>
      </c>
      <c r="D59" s="6" t="n">
        <f aca="false">C59*Assumptions!$B$15/12</f>
        <v>245478.931924673</v>
      </c>
      <c r="E59" s="6" t="n">
        <f aca="false">IF(A59-$D$7+1&gt;Assumptions!$B$16,MIN(MAX($D$8-D59,0),C59),0)</f>
        <v>910075.636410604</v>
      </c>
      <c r="F59" s="6" t="n">
        <f aca="false">C59-E59</f>
        <v>23637817.5560567</v>
      </c>
      <c r="G59" s="2"/>
      <c r="H59" s="2"/>
      <c r="I59" s="6" t="n">
        <f aca="false">IF(A59=$J$7,$J$6,IF(A59&gt;$J$7,L58,0))</f>
        <v>50736678.1060409</v>
      </c>
      <c r="J59" s="6" t="n">
        <f aca="false">I59*Assumptions!$B$15/12</f>
        <v>507366.781060409</v>
      </c>
      <c r="K59" s="6" t="n">
        <f aca="false">IF(A59-$J$7+1&gt;Assumptions!$B$16,MIN(MAX($J$8-J59,0),I59),0)</f>
        <v>1177816.96442854</v>
      </c>
      <c r="L59" s="6" t="n">
        <f aca="false">I59-K59</f>
        <v>49558861.1416124</v>
      </c>
      <c r="M59" s="2"/>
      <c r="N59" s="2"/>
      <c r="O59" s="6" t="n">
        <f aca="false">IF(A59=$P$7,$P$6,IF(A59&gt;$P$7,R58,0))</f>
        <v>28888313.3938927</v>
      </c>
      <c r="P59" s="6" t="n">
        <f aca="false">O59*Assumptions!$B$15/12</f>
        <v>288883.133938927</v>
      </c>
      <c r="Q59" s="6" t="n">
        <f aca="false">IF(A59-$P$7+1&gt;Assumptions!$B$16,MIN(MAX($P$8-P59,0),O59),0)</f>
        <v>471856.956881797</v>
      </c>
      <c r="R59" s="6" t="n">
        <f aca="false">O59-Q59</f>
        <v>28416456.4370109</v>
      </c>
    </row>
    <row r="60" customFormat="false" ht="15" hidden="false" customHeight="false" outlineLevel="0" collapsed="false">
      <c r="A60" s="28" t="n">
        <v>50</v>
      </c>
      <c r="B60" s="29" t="n">
        <f aca="false">2027+INT((A60-1)/12)</f>
        <v>2031</v>
      </c>
      <c r="C60" s="6" t="n">
        <f aca="false">IF(A60=$D$7,$D$6,IF(A60&gt;$D$7,F59,0))</f>
        <v>23637817.5560567</v>
      </c>
      <c r="D60" s="6" t="n">
        <f aca="false">C60*Assumptions!$B$15/12</f>
        <v>236378.175560567</v>
      </c>
      <c r="E60" s="6" t="n">
        <f aca="false">IF(A60-$D$7+1&gt;Assumptions!$B$16,MIN(MAX($D$8-D60,0),C60),0)</f>
        <v>919176.39277471</v>
      </c>
      <c r="F60" s="6" t="n">
        <f aca="false">C60-E60</f>
        <v>22718641.163282</v>
      </c>
      <c r="G60" s="2"/>
      <c r="H60" s="2"/>
      <c r="I60" s="6" t="n">
        <f aca="false">IF(A60=$J$7,$J$6,IF(A60&gt;$J$7,L59,0))</f>
        <v>49558861.1416124</v>
      </c>
      <c r="J60" s="6" t="n">
        <f aca="false">I60*Assumptions!$B$15/12</f>
        <v>495588.611416124</v>
      </c>
      <c r="K60" s="6" t="n">
        <f aca="false">IF(A60-$J$7+1&gt;Assumptions!$B$16,MIN(MAX($J$8-J60,0),I60),0)</f>
        <v>1189595.13407282</v>
      </c>
      <c r="L60" s="6" t="n">
        <f aca="false">I60-K60</f>
        <v>48369266.0075396</v>
      </c>
      <c r="M60" s="2"/>
      <c r="N60" s="2"/>
      <c r="O60" s="6" t="n">
        <f aca="false">IF(A60=$P$7,$P$6,IF(A60&gt;$P$7,R59,0))</f>
        <v>28416456.4370109</v>
      </c>
      <c r="P60" s="6" t="n">
        <f aca="false">O60*Assumptions!$B$15/12</f>
        <v>284164.564370109</v>
      </c>
      <c r="Q60" s="6" t="n">
        <f aca="false">IF(A60-$P$7+1&gt;Assumptions!$B$16,MIN(MAX($P$8-P60,0),O60),0)</f>
        <v>476575.526450615</v>
      </c>
      <c r="R60" s="6" t="n">
        <f aca="false">O60-Q60</f>
        <v>27939880.9105603</v>
      </c>
    </row>
    <row r="61" customFormat="false" ht="15" hidden="false" customHeight="false" outlineLevel="0" collapsed="false">
      <c r="A61" s="28" t="n">
        <v>51</v>
      </c>
      <c r="B61" s="29" t="n">
        <f aca="false">2027+INT((A61-1)/12)</f>
        <v>2031</v>
      </c>
      <c r="C61" s="6" t="n">
        <f aca="false">IF(A61=$D$7,$D$6,IF(A61&gt;$D$7,F60,0))</f>
        <v>22718641.163282</v>
      </c>
      <c r="D61" s="6" t="n">
        <f aca="false">C61*Assumptions!$B$15/12</f>
        <v>227186.41163282</v>
      </c>
      <c r="E61" s="6" t="n">
        <f aca="false">IF(A61-$D$7+1&gt;Assumptions!$B$16,MIN(MAX($D$8-D61,0),C61),0)</f>
        <v>928368.156702457</v>
      </c>
      <c r="F61" s="6" t="n">
        <f aca="false">C61-E61</f>
        <v>21790273.0065796</v>
      </c>
      <c r="G61" s="2"/>
      <c r="H61" s="2"/>
      <c r="I61" s="6" t="n">
        <f aca="false">IF(A61=$J$7,$J$6,IF(A61&gt;$J$7,L60,0))</f>
        <v>48369266.0075396</v>
      </c>
      <c r="J61" s="6" t="n">
        <f aca="false">I61*Assumptions!$B$15/12</f>
        <v>483692.660075396</v>
      </c>
      <c r="K61" s="6" t="n">
        <f aca="false">IF(A61-$J$7+1&gt;Assumptions!$B$16,MIN(MAX($J$8-J61,0),I61),0)</f>
        <v>1201491.08541355</v>
      </c>
      <c r="L61" s="6" t="n">
        <f aca="false">I61-K61</f>
        <v>47167774.922126</v>
      </c>
      <c r="M61" s="2"/>
      <c r="N61" s="2"/>
      <c r="O61" s="6" t="n">
        <f aca="false">IF(A61=$P$7,$P$6,IF(A61&gt;$P$7,R60,0))</f>
        <v>27939880.9105603</v>
      </c>
      <c r="P61" s="6" t="n">
        <f aca="false">O61*Assumptions!$B$15/12</f>
        <v>279398.809105603</v>
      </c>
      <c r="Q61" s="6" t="n">
        <f aca="false">IF(A61-$P$7+1&gt;Assumptions!$B$16,MIN(MAX($P$8-P61,0),O61),0)</f>
        <v>481341.281715121</v>
      </c>
      <c r="R61" s="6" t="n">
        <f aca="false">O61-Q61</f>
        <v>27458539.6288451</v>
      </c>
    </row>
    <row r="62" customFormat="false" ht="15" hidden="false" customHeight="false" outlineLevel="0" collapsed="false">
      <c r="A62" s="28" t="n">
        <v>52</v>
      </c>
      <c r="B62" s="29" t="n">
        <f aca="false">2027+INT((A62-1)/12)</f>
        <v>2031</v>
      </c>
      <c r="C62" s="6" t="n">
        <f aca="false">IF(A62=$D$7,$D$6,IF(A62&gt;$D$7,F61,0))</f>
        <v>21790273.0065796</v>
      </c>
      <c r="D62" s="6" t="n">
        <f aca="false">C62*Assumptions!$B$15/12</f>
        <v>217902.730065796</v>
      </c>
      <c r="E62" s="6" t="n">
        <f aca="false">IF(A62-$D$7+1&gt;Assumptions!$B$16,MIN(MAX($D$8-D62,0),C62),0)</f>
        <v>937651.838269481</v>
      </c>
      <c r="F62" s="6" t="n">
        <f aca="false">C62-E62</f>
        <v>20852621.1683101</v>
      </c>
      <c r="G62" s="2"/>
      <c r="H62" s="2"/>
      <c r="I62" s="6" t="n">
        <f aca="false">IF(A62=$J$7,$J$6,IF(A62&gt;$J$7,L61,0))</f>
        <v>47167774.922126</v>
      </c>
      <c r="J62" s="6" t="n">
        <f aca="false">I62*Assumptions!$B$15/12</f>
        <v>471677.74922126</v>
      </c>
      <c r="K62" s="6" t="n">
        <f aca="false">IF(A62-$J$7+1&gt;Assumptions!$B$16,MIN(MAX($J$8-J62,0),I62),0)</f>
        <v>1213505.99626769</v>
      </c>
      <c r="L62" s="6" t="n">
        <f aca="false">I62-K62</f>
        <v>45954268.9258583</v>
      </c>
      <c r="M62" s="2"/>
      <c r="N62" s="2"/>
      <c r="O62" s="6" t="n">
        <f aca="false">IF(A62=$P$7,$P$6,IF(A62&gt;$P$7,R61,0))</f>
        <v>27458539.6288451</v>
      </c>
      <c r="P62" s="6" t="n">
        <f aca="false">O62*Assumptions!$B$15/12</f>
        <v>274585.396288451</v>
      </c>
      <c r="Q62" s="6" t="n">
        <f aca="false">IF(A62-$P$7+1&gt;Assumptions!$B$16,MIN(MAX($P$8-P62,0),O62),0)</f>
        <v>486154.694532272</v>
      </c>
      <c r="R62" s="6" t="n">
        <f aca="false">O62-Q62</f>
        <v>26972384.9343129</v>
      </c>
    </row>
    <row r="63" customFormat="false" ht="15" hidden="false" customHeight="false" outlineLevel="0" collapsed="false">
      <c r="A63" s="28" t="n">
        <v>53</v>
      </c>
      <c r="B63" s="29" t="n">
        <f aca="false">2027+INT((A63-1)/12)</f>
        <v>2031</v>
      </c>
      <c r="C63" s="6" t="n">
        <f aca="false">IF(A63=$D$7,$D$6,IF(A63&gt;$D$7,F62,0))</f>
        <v>20852621.1683101</v>
      </c>
      <c r="D63" s="6" t="n">
        <f aca="false">C63*Assumptions!$B$15/12</f>
        <v>208526.211683101</v>
      </c>
      <c r="E63" s="6" t="n">
        <f aca="false">IF(A63-$D$7+1&gt;Assumptions!$B$16,MIN(MAX($D$8-D63,0),C63),0)</f>
        <v>947028.356652176</v>
      </c>
      <c r="F63" s="6" t="n">
        <f aca="false">C63-E63</f>
        <v>19905592.8116579</v>
      </c>
      <c r="G63" s="2"/>
      <c r="H63" s="2"/>
      <c r="I63" s="6" t="n">
        <f aca="false">IF(A63=$J$7,$J$6,IF(A63&gt;$J$7,L62,0))</f>
        <v>45954268.9258583</v>
      </c>
      <c r="J63" s="6" t="n">
        <f aca="false">I63*Assumptions!$B$15/12</f>
        <v>459542.689258583</v>
      </c>
      <c r="K63" s="6" t="n">
        <f aca="false">IF(A63-$J$7+1&gt;Assumptions!$B$16,MIN(MAX($J$8-J63,0),I63),0)</f>
        <v>1225641.05623036</v>
      </c>
      <c r="L63" s="6" t="n">
        <f aca="false">I63-K63</f>
        <v>44728627.869628</v>
      </c>
      <c r="M63" s="2"/>
      <c r="N63" s="2"/>
      <c r="O63" s="6" t="n">
        <f aca="false">IF(A63=$P$7,$P$6,IF(A63&gt;$P$7,R62,0))</f>
        <v>26972384.9343129</v>
      </c>
      <c r="P63" s="6" t="n">
        <f aca="false">O63*Assumptions!$B$15/12</f>
        <v>269723.849343129</v>
      </c>
      <c r="Q63" s="6" t="n">
        <f aca="false">IF(A63-$P$7+1&gt;Assumptions!$B$16,MIN(MAX($P$8-P63,0),O63),0)</f>
        <v>491016.241477595</v>
      </c>
      <c r="R63" s="6" t="n">
        <f aca="false">O63-Q63</f>
        <v>26481368.6928353</v>
      </c>
    </row>
    <row r="64" customFormat="false" ht="15" hidden="false" customHeight="false" outlineLevel="0" collapsed="false">
      <c r="A64" s="28" t="n">
        <v>54</v>
      </c>
      <c r="B64" s="29" t="n">
        <f aca="false">2027+INT((A64-1)/12)</f>
        <v>2031</v>
      </c>
      <c r="C64" s="6" t="n">
        <f aca="false">IF(A64=$D$7,$D$6,IF(A64&gt;$D$7,F63,0))</f>
        <v>19905592.8116579</v>
      </c>
      <c r="D64" s="6" t="n">
        <f aca="false">C64*Assumptions!$B$15/12</f>
        <v>199055.928116579</v>
      </c>
      <c r="E64" s="6" t="n">
        <f aca="false">IF(A64-$D$7+1&gt;Assumptions!$B$16,MIN(MAX($D$8-D64,0),C64),0)</f>
        <v>956498.640218698</v>
      </c>
      <c r="F64" s="6" t="n">
        <f aca="false">C64-E64</f>
        <v>18949094.1714392</v>
      </c>
      <c r="G64" s="2"/>
      <c r="H64" s="2"/>
      <c r="I64" s="6" t="n">
        <f aca="false">IF(A64=$J$7,$J$6,IF(A64&gt;$J$7,L63,0))</f>
        <v>44728627.869628</v>
      </c>
      <c r="J64" s="6" t="n">
        <f aca="false">I64*Assumptions!$B$15/12</f>
        <v>447286.27869628</v>
      </c>
      <c r="K64" s="6" t="n">
        <f aca="false">IF(A64-$J$7+1&gt;Assumptions!$B$16,MIN(MAX($J$8-J64,0),I64),0)</f>
        <v>1237897.46679267</v>
      </c>
      <c r="L64" s="6" t="n">
        <f aca="false">I64-K64</f>
        <v>43490730.4028353</v>
      </c>
      <c r="M64" s="2"/>
      <c r="N64" s="2"/>
      <c r="O64" s="6" t="n">
        <f aca="false">IF(A64=$P$7,$P$6,IF(A64&gt;$P$7,R63,0))</f>
        <v>26481368.6928353</v>
      </c>
      <c r="P64" s="6" t="n">
        <f aca="false">O64*Assumptions!$B$15/12</f>
        <v>264813.686928353</v>
      </c>
      <c r="Q64" s="6" t="n">
        <f aca="false">IF(A64-$P$7+1&gt;Assumptions!$B$16,MIN(MAX($P$8-P64,0),O64),0)</f>
        <v>495926.403892371</v>
      </c>
      <c r="R64" s="6" t="n">
        <f aca="false">O64-Q64</f>
        <v>25985442.2889429</v>
      </c>
    </row>
    <row r="65" customFormat="false" ht="15" hidden="false" customHeight="false" outlineLevel="0" collapsed="false">
      <c r="A65" s="28" t="n">
        <v>55</v>
      </c>
      <c r="B65" s="29" t="n">
        <f aca="false">2027+INT((A65-1)/12)</f>
        <v>2031</v>
      </c>
      <c r="C65" s="6" t="n">
        <f aca="false">IF(A65=$D$7,$D$6,IF(A65&gt;$D$7,F64,0))</f>
        <v>18949094.1714392</v>
      </c>
      <c r="D65" s="6" t="n">
        <f aca="false">C65*Assumptions!$B$15/12</f>
        <v>189490.941714392</v>
      </c>
      <c r="E65" s="6" t="n">
        <f aca="false">IF(A65-$D$7+1&gt;Assumptions!$B$16,MIN(MAX($D$8-D65,0),C65),0)</f>
        <v>966063.626620885</v>
      </c>
      <c r="F65" s="6" t="n">
        <f aca="false">C65-E65</f>
        <v>17983030.5448183</v>
      </c>
      <c r="G65" s="2"/>
      <c r="H65" s="2"/>
      <c r="I65" s="6" t="n">
        <f aca="false">IF(A65=$J$7,$J$6,IF(A65&gt;$J$7,L64,0))</f>
        <v>43490730.4028353</v>
      </c>
      <c r="J65" s="6" t="n">
        <f aca="false">I65*Assumptions!$B$15/12</f>
        <v>434907.304028353</v>
      </c>
      <c r="K65" s="6" t="n">
        <f aca="false">IF(A65-$J$7+1&gt;Assumptions!$B$16,MIN(MAX($J$8-J65,0),I65),0)</f>
        <v>1250276.44146059</v>
      </c>
      <c r="L65" s="6" t="n">
        <f aca="false">I65-K65</f>
        <v>42240453.9613747</v>
      </c>
      <c r="M65" s="2"/>
      <c r="N65" s="2"/>
      <c r="O65" s="6" t="n">
        <f aca="false">IF(A65=$P$7,$P$6,IF(A65&gt;$P$7,R64,0))</f>
        <v>25985442.2889429</v>
      </c>
      <c r="P65" s="6" t="n">
        <f aca="false">O65*Assumptions!$B$15/12</f>
        <v>259854.422889429</v>
      </c>
      <c r="Q65" s="6" t="n">
        <f aca="false">IF(A65-$P$7+1&gt;Assumptions!$B$16,MIN(MAX($P$8-P65,0),O65),0)</f>
        <v>500885.667931295</v>
      </c>
      <c r="R65" s="6" t="n">
        <f aca="false">O65-Q65</f>
        <v>25484556.6210116</v>
      </c>
    </row>
    <row r="66" customFormat="false" ht="15" hidden="false" customHeight="false" outlineLevel="0" collapsed="false">
      <c r="A66" s="28" t="n">
        <v>56</v>
      </c>
      <c r="B66" s="29" t="n">
        <f aca="false">2027+INT((A66-1)/12)</f>
        <v>2031</v>
      </c>
      <c r="C66" s="6" t="n">
        <f aca="false">IF(A66=$D$7,$D$6,IF(A66&gt;$D$7,F65,0))</f>
        <v>17983030.5448183</v>
      </c>
      <c r="D66" s="6" t="n">
        <f aca="false">C66*Assumptions!$B$15/12</f>
        <v>179830.305448183</v>
      </c>
      <c r="E66" s="6" t="n">
        <f aca="false">IF(A66-$D$7+1&gt;Assumptions!$B$16,MIN(MAX($D$8-D66,0),C66),0)</f>
        <v>975724.262887094</v>
      </c>
      <c r="F66" s="6" t="n">
        <f aca="false">C66-E66</f>
        <v>17007306.2819312</v>
      </c>
      <c r="G66" s="2"/>
      <c r="H66" s="2"/>
      <c r="I66" s="6" t="n">
        <f aca="false">IF(A66=$J$7,$J$6,IF(A66&gt;$J$7,L65,0))</f>
        <v>42240453.9613747</v>
      </c>
      <c r="J66" s="6" t="n">
        <f aca="false">I66*Assumptions!$B$15/12</f>
        <v>422404.539613747</v>
      </c>
      <c r="K66" s="6" t="n">
        <f aca="false">IF(A66-$J$7+1&gt;Assumptions!$B$16,MIN(MAX($J$8-J66,0),I66),0)</f>
        <v>1262779.2058752</v>
      </c>
      <c r="L66" s="6" t="n">
        <f aca="false">I66-K66</f>
        <v>40977674.7554995</v>
      </c>
      <c r="M66" s="2"/>
      <c r="N66" s="2"/>
      <c r="O66" s="6" t="n">
        <f aca="false">IF(A66=$P$7,$P$6,IF(A66&gt;$P$7,R65,0))</f>
        <v>25484556.6210116</v>
      </c>
      <c r="P66" s="6" t="n">
        <f aca="false">O66*Assumptions!$B$15/12</f>
        <v>254845.566210116</v>
      </c>
      <c r="Q66" s="6" t="n">
        <f aca="false">IF(A66-$P$7+1&gt;Assumptions!$B$16,MIN(MAX($P$8-P66,0),O66),0)</f>
        <v>505894.524610608</v>
      </c>
      <c r="R66" s="6" t="n">
        <f aca="false">O66-Q66</f>
        <v>24978662.096401</v>
      </c>
    </row>
    <row r="67" customFormat="false" ht="15" hidden="false" customHeight="false" outlineLevel="0" collapsed="false">
      <c r="A67" s="28" t="n">
        <v>57</v>
      </c>
      <c r="B67" s="29" t="n">
        <f aca="false">2027+INT((A67-1)/12)</f>
        <v>2031</v>
      </c>
      <c r="C67" s="6" t="n">
        <f aca="false">IF(A67=$D$7,$D$6,IF(A67&gt;$D$7,F66,0))</f>
        <v>17007306.2819312</v>
      </c>
      <c r="D67" s="6" t="n">
        <f aca="false">C67*Assumptions!$B$15/12</f>
        <v>170073.062819312</v>
      </c>
      <c r="E67" s="6" t="n">
        <f aca="false">IF(A67-$D$7+1&gt;Assumptions!$B$16,MIN(MAX($D$8-D67,0),C67),0)</f>
        <v>985481.505515965</v>
      </c>
      <c r="F67" s="6" t="n">
        <f aca="false">C67-E67</f>
        <v>16021824.7764153</v>
      </c>
      <c r="G67" s="2"/>
      <c r="H67" s="2"/>
      <c r="I67" s="6" t="n">
        <f aca="false">IF(A67=$J$7,$J$6,IF(A67&gt;$J$7,L66,0))</f>
        <v>40977674.7554995</v>
      </c>
      <c r="J67" s="6" t="n">
        <f aca="false">I67*Assumptions!$B$15/12</f>
        <v>409776.747554995</v>
      </c>
      <c r="K67" s="6" t="n">
        <f aca="false">IF(A67-$J$7+1&gt;Assumptions!$B$16,MIN(MAX($J$8-J67,0),I67),0)</f>
        <v>1275406.99793395</v>
      </c>
      <c r="L67" s="6" t="n">
        <f aca="false">I67-K67</f>
        <v>39702267.7575656</v>
      </c>
      <c r="M67" s="2"/>
      <c r="N67" s="2"/>
      <c r="O67" s="6" t="n">
        <f aca="false">IF(A67=$P$7,$P$6,IF(A67&gt;$P$7,R66,0))</f>
        <v>24978662.096401</v>
      </c>
      <c r="P67" s="6" t="n">
        <f aca="false">O67*Assumptions!$B$15/12</f>
        <v>249786.62096401</v>
      </c>
      <c r="Q67" s="6" t="n">
        <f aca="false">IF(A67-$P$7+1&gt;Assumptions!$B$16,MIN(MAX($P$8-P67,0),O67),0)</f>
        <v>510953.469856714</v>
      </c>
      <c r="R67" s="6" t="n">
        <f aca="false">O67-Q67</f>
        <v>24467708.6265443</v>
      </c>
    </row>
    <row r="68" customFormat="false" ht="15" hidden="false" customHeight="false" outlineLevel="0" collapsed="false">
      <c r="A68" s="28" t="n">
        <v>58</v>
      </c>
      <c r="B68" s="29" t="n">
        <f aca="false">2027+INT((A68-1)/12)</f>
        <v>2031</v>
      </c>
      <c r="C68" s="6" t="n">
        <f aca="false">IF(A68=$D$7,$D$6,IF(A68&gt;$D$7,F67,0))</f>
        <v>16021824.7764153</v>
      </c>
      <c r="D68" s="6" t="n">
        <f aca="false">C68*Assumptions!$B$15/12</f>
        <v>160218.247764153</v>
      </c>
      <c r="E68" s="6" t="n">
        <f aca="false">IF(A68-$D$7+1&gt;Assumptions!$B$16,MIN(MAX($D$8-D68,0),C68),0)</f>
        <v>995336.320571124</v>
      </c>
      <c r="F68" s="6" t="n">
        <f aca="false">C68-E68</f>
        <v>15026488.4558441</v>
      </c>
      <c r="G68" s="2"/>
      <c r="H68" s="2"/>
      <c r="I68" s="6" t="n">
        <f aca="false">IF(A68=$J$7,$J$6,IF(A68&gt;$J$7,L67,0))</f>
        <v>39702267.7575656</v>
      </c>
      <c r="J68" s="6" t="n">
        <f aca="false">I68*Assumptions!$B$15/12</f>
        <v>397022.677575656</v>
      </c>
      <c r="K68" s="6" t="n">
        <f aca="false">IF(A68-$J$7+1&gt;Assumptions!$B$16,MIN(MAX($J$8-J68,0),I68),0)</f>
        <v>1288161.06791329</v>
      </c>
      <c r="L68" s="6" t="n">
        <f aca="false">I68-K68</f>
        <v>38414106.6896523</v>
      </c>
      <c r="M68" s="2"/>
      <c r="N68" s="2"/>
      <c r="O68" s="6" t="n">
        <f aca="false">IF(A68=$P$7,$P$6,IF(A68&gt;$P$7,R67,0))</f>
        <v>24467708.6265443</v>
      </c>
      <c r="P68" s="6" t="n">
        <f aca="false">O68*Assumptions!$B$15/12</f>
        <v>244677.086265443</v>
      </c>
      <c r="Q68" s="6" t="n">
        <f aca="false">IF(A68-$P$7+1&gt;Assumptions!$B$16,MIN(MAX($P$8-P68,0),O68),0)</f>
        <v>516063.004555281</v>
      </c>
      <c r="R68" s="6" t="n">
        <f aca="false">O68-Q68</f>
        <v>23951645.621989</v>
      </c>
    </row>
    <row r="69" customFormat="false" ht="15" hidden="false" customHeight="false" outlineLevel="0" collapsed="false">
      <c r="A69" s="28" t="n">
        <v>59</v>
      </c>
      <c r="B69" s="29" t="n">
        <f aca="false">2027+INT((A69-1)/12)</f>
        <v>2031</v>
      </c>
      <c r="C69" s="6" t="n">
        <f aca="false">IF(A69=$D$7,$D$6,IF(A69&gt;$D$7,F68,0))</f>
        <v>15026488.4558441</v>
      </c>
      <c r="D69" s="6" t="n">
        <f aca="false">C69*Assumptions!$B$15/12</f>
        <v>150264.884558441</v>
      </c>
      <c r="E69" s="6" t="n">
        <f aca="false">IF(A69-$D$7+1&gt;Assumptions!$B$16,MIN(MAX($D$8-D69,0),C69),0)</f>
        <v>1005289.68377684</v>
      </c>
      <c r="F69" s="6" t="n">
        <f aca="false">C69-E69</f>
        <v>14021198.7720673</v>
      </c>
      <c r="G69" s="2"/>
      <c r="H69" s="2"/>
      <c r="I69" s="6" t="n">
        <f aca="false">IF(A69=$J$7,$J$6,IF(A69&gt;$J$7,L68,0))</f>
        <v>38414106.6896523</v>
      </c>
      <c r="J69" s="6" t="n">
        <f aca="false">I69*Assumptions!$B$15/12</f>
        <v>384141.066896523</v>
      </c>
      <c r="K69" s="6" t="n">
        <f aca="false">IF(A69-$J$7+1&gt;Assumptions!$B$16,MIN(MAX($J$8-J69,0),I69),0)</f>
        <v>1301042.67859242</v>
      </c>
      <c r="L69" s="6" t="n">
        <f aca="false">I69-K69</f>
        <v>37113064.0110599</v>
      </c>
      <c r="M69" s="2"/>
      <c r="N69" s="2"/>
      <c r="O69" s="6" t="n">
        <f aca="false">IF(A69=$P$7,$P$6,IF(A69&gt;$P$7,R68,0))</f>
        <v>23951645.621989</v>
      </c>
      <c r="P69" s="6" t="n">
        <f aca="false">O69*Assumptions!$B$15/12</f>
        <v>239516.45621989</v>
      </c>
      <c r="Q69" s="6" t="n">
        <f aca="false">IF(A69-$P$7+1&gt;Assumptions!$B$16,MIN(MAX($P$8-P69,0),O69),0)</f>
        <v>521223.634600834</v>
      </c>
      <c r="R69" s="6" t="n">
        <f aca="false">O69-Q69</f>
        <v>23430421.9873882</v>
      </c>
    </row>
    <row r="70" customFormat="false" ht="15" hidden="false" customHeight="false" outlineLevel="0" collapsed="false">
      <c r="A70" s="28" t="n">
        <v>60</v>
      </c>
      <c r="B70" s="29" t="n">
        <f aca="false">2027+INT((A70-1)/12)</f>
        <v>2031</v>
      </c>
      <c r="C70" s="6" t="n">
        <f aca="false">IF(A70=$D$7,$D$6,IF(A70&gt;$D$7,F69,0))</f>
        <v>14021198.7720673</v>
      </c>
      <c r="D70" s="6" t="n">
        <f aca="false">C70*Assumptions!$B$15/12</f>
        <v>140211.987720673</v>
      </c>
      <c r="E70" s="6" t="n">
        <f aca="false">IF(A70-$D$7+1&gt;Assumptions!$B$16,MIN(MAX($D$8-D70,0),C70),0)</f>
        <v>1015342.5806146</v>
      </c>
      <c r="F70" s="6" t="n">
        <f aca="false">C70-E70</f>
        <v>13005856.1914527</v>
      </c>
      <c r="G70" s="2"/>
      <c r="H70" s="2"/>
      <c r="I70" s="6" t="n">
        <f aca="false">IF(A70=$J$7,$J$6,IF(A70&gt;$J$7,L69,0))</f>
        <v>37113064.0110599</v>
      </c>
      <c r="J70" s="6" t="n">
        <f aca="false">I70*Assumptions!$B$15/12</f>
        <v>371130.640110599</v>
      </c>
      <c r="K70" s="6" t="n">
        <f aca="false">IF(A70-$J$7+1&gt;Assumptions!$B$16,MIN(MAX($J$8-J70,0),I70),0)</f>
        <v>1314053.10537835</v>
      </c>
      <c r="L70" s="6" t="n">
        <f aca="false">I70-K70</f>
        <v>35799010.9056815</v>
      </c>
      <c r="M70" s="2"/>
      <c r="N70" s="2"/>
      <c r="O70" s="6" t="n">
        <f aca="false">IF(A70=$P$7,$P$6,IF(A70&gt;$P$7,R69,0))</f>
        <v>23430421.9873882</v>
      </c>
      <c r="P70" s="6" t="n">
        <f aca="false">O70*Assumptions!$B$15/12</f>
        <v>234304.219873882</v>
      </c>
      <c r="Q70" s="6" t="n">
        <f aca="false">IF(A70-$P$7+1&gt;Assumptions!$B$16,MIN(MAX($P$8-P70,0),O70),0)</f>
        <v>526435.870946842</v>
      </c>
      <c r="R70" s="6" t="n">
        <f aca="false">O70-Q70</f>
        <v>22903986.1164413</v>
      </c>
    </row>
    <row r="71" customFormat="false" ht="15" hidden="false" customHeight="false" outlineLevel="0" collapsed="false">
      <c r="A71" s="28" t="n">
        <v>61</v>
      </c>
      <c r="B71" s="29" t="n">
        <f aca="false">2027+INT((A71-1)/12)</f>
        <v>2032</v>
      </c>
      <c r="C71" s="6" t="n">
        <f aca="false">IF(A71=$D$7,$D$6,IF(A71&gt;$D$7,F70,0))</f>
        <v>13005856.1914527</v>
      </c>
      <c r="D71" s="6" t="n">
        <f aca="false">C71*Assumptions!$B$15/12</f>
        <v>130058.561914527</v>
      </c>
      <c r="E71" s="6" t="n">
        <f aca="false">IF(A71-$D$7+1&gt;Assumptions!$B$16,MIN(MAX($D$8-D71,0),C71),0)</f>
        <v>1025496.00642075</v>
      </c>
      <c r="F71" s="6" t="n">
        <f aca="false">C71-E71</f>
        <v>11980360.1850319</v>
      </c>
      <c r="G71" s="2"/>
      <c r="H71" s="2"/>
      <c r="I71" s="6" t="n">
        <f aca="false">IF(A71=$J$7,$J$6,IF(A71&gt;$J$7,L70,0))</f>
        <v>35799010.9056815</v>
      </c>
      <c r="J71" s="6" t="n">
        <f aca="false">I71*Assumptions!$B$15/12</f>
        <v>357990.109056815</v>
      </c>
      <c r="K71" s="6" t="n">
        <f aca="false">IF(A71-$J$7+1&gt;Assumptions!$B$16,MIN(MAX($J$8-J71,0),I71),0)</f>
        <v>1327193.63643213</v>
      </c>
      <c r="L71" s="6" t="n">
        <f aca="false">I71-K71</f>
        <v>34471817.2692494</v>
      </c>
      <c r="M71" s="2"/>
      <c r="N71" s="2"/>
      <c r="O71" s="6" t="n">
        <f aca="false">IF(A71=$P$7,$P$6,IF(A71&gt;$P$7,R70,0))</f>
        <v>22903986.1164413</v>
      </c>
      <c r="P71" s="6" t="n">
        <f aca="false">O71*Assumptions!$B$15/12</f>
        <v>229039.861164413</v>
      </c>
      <c r="Q71" s="6" t="n">
        <f aca="false">IF(A71-$P$7+1&gt;Assumptions!$B$16,MIN(MAX($P$8-P71,0),O71),0)</f>
        <v>531700.22965631</v>
      </c>
      <c r="R71" s="6" t="n">
        <f aca="false">O71-Q71</f>
        <v>22372285.886785</v>
      </c>
    </row>
    <row r="72" customFormat="false" ht="15" hidden="false" customHeight="false" outlineLevel="0" collapsed="false">
      <c r="A72" s="28" t="n">
        <v>62</v>
      </c>
      <c r="B72" s="29" t="n">
        <f aca="false">2027+INT((A72-1)/12)</f>
        <v>2032</v>
      </c>
      <c r="C72" s="6" t="n">
        <f aca="false">IF(A72=$D$7,$D$6,IF(A72&gt;$D$7,F71,0))</f>
        <v>11980360.1850319</v>
      </c>
      <c r="D72" s="6" t="n">
        <f aca="false">C72*Assumptions!$B$15/12</f>
        <v>119803.601850319</v>
      </c>
      <c r="E72" s="6" t="n">
        <f aca="false">IF(A72-$D$7+1&gt;Assumptions!$B$16,MIN(MAX($D$8-D72,0),C72),0)</f>
        <v>1035750.96648496</v>
      </c>
      <c r="F72" s="6" t="n">
        <f aca="false">C72-E72</f>
        <v>10944609.218547</v>
      </c>
      <c r="G72" s="2"/>
      <c r="H72" s="2"/>
      <c r="I72" s="6" t="n">
        <f aca="false">IF(A72=$J$7,$J$6,IF(A72&gt;$J$7,L71,0))</f>
        <v>34471817.2692494</v>
      </c>
      <c r="J72" s="6" t="n">
        <f aca="false">I72*Assumptions!$B$15/12</f>
        <v>344718.172692494</v>
      </c>
      <c r="K72" s="6" t="n">
        <f aca="false">IF(A72-$J$7+1&gt;Assumptions!$B$16,MIN(MAX($J$8-J72,0),I72),0)</f>
        <v>1340465.57279645</v>
      </c>
      <c r="L72" s="6" t="n">
        <f aca="false">I72-K72</f>
        <v>33131351.6964529</v>
      </c>
      <c r="M72" s="2"/>
      <c r="N72" s="2"/>
      <c r="O72" s="6" t="n">
        <f aca="false">IF(A72=$P$7,$P$6,IF(A72&gt;$P$7,R71,0))</f>
        <v>22372285.886785</v>
      </c>
      <c r="P72" s="6" t="n">
        <f aca="false">O72*Assumptions!$B$15/12</f>
        <v>223722.85886785</v>
      </c>
      <c r="Q72" s="6" t="n">
        <f aca="false">IF(A72-$P$7+1&gt;Assumptions!$B$16,MIN(MAX($P$8-P72,0),O72),0)</f>
        <v>537017.231952874</v>
      </c>
      <c r="R72" s="6" t="n">
        <f aca="false">O72-Q72</f>
        <v>21835268.6548322</v>
      </c>
    </row>
    <row r="73" customFormat="false" ht="15" hidden="false" customHeight="false" outlineLevel="0" collapsed="false">
      <c r="A73" s="28" t="n">
        <v>63</v>
      </c>
      <c r="B73" s="29" t="n">
        <f aca="false">2027+INT((A73-1)/12)</f>
        <v>2032</v>
      </c>
      <c r="C73" s="6" t="n">
        <f aca="false">IF(A73=$D$7,$D$6,IF(A73&gt;$D$7,F72,0))</f>
        <v>10944609.218547</v>
      </c>
      <c r="D73" s="6" t="n">
        <f aca="false">C73*Assumptions!$B$15/12</f>
        <v>109446.09218547</v>
      </c>
      <c r="E73" s="6" t="n">
        <f aca="false">IF(A73-$D$7+1&gt;Assumptions!$B$16,MIN(MAX($D$8-D73,0),C73),0)</f>
        <v>1046108.47614981</v>
      </c>
      <c r="F73" s="6" t="n">
        <f aca="false">C73-E73</f>
        <v>9898500.74239718</v>
      </c>
      <c r="G73" s="2"/>
      <c r="H73" s="2"/>
      <c r="I73" s="6" t="n">
        <f aca="false">IF(A73=$J$7,$J$6,IF(A73&gt;$J$7,L72,0))</f>
        <v>33131351.6964529</v>
      </c>
      <c r="J73" s="6" t="n">
        <f aca="false">I73*Assumptions!$B$15/12</f>
        <v>331313.516964529</v>
      </c>
      <c r="K73" s="6" t="n">
        <f aca="false">IF(A73-$J$7+1&gt;Assumptions!$B$16,MIN(MAX($J$8-J73,0),I73),0)</f>
        <v>1353870.22852442</v>
      </c>
      <c r="L73" s="6" t="n">
        <f aca="false">I73-K73</f>
        <v>31777481.4679285</v>
      </c>
      <c r="M73" s="2"/>
      <c r="N73" s="2"/>
      <c r="O73" s="6" t="n">
        <f aca="false">IF(A73=$P$7,$P$6,IF(A73&gt;$P$7,R72,0))</f>
        <v>21835268.6548322</v>
      </c>
      <c r="P73" s="6" t="n">
        <f aca="false">O73*Assumptions!$B$15/12</f>
        <v>218352.686548322</v>
      </c>
      <c r="Q73" s="6" t="n">
        <f aca="false">IF(A73-$P$7+1&gt;Assumptions!$B$16,MIN(MAX($P$8-P73,0),O73),0)</f>
        <v>542387.404272402</v>
      </c>
      <c r="R73" s="6" t="n">
        <f aca="false">O73-Q73</f>
        <v>21292881.2505598</v>
      </c>
    </row>
    <row r="74" customFormat="false" ht="15" hidden="false" customHeight="false" outlineLevel="0" collapsed="false">
      <c r="A74" s="28" t="n">
        <v>64</v>
      </c>
      <c r="B74" s="29" t="n">
        <f aca="false">2027+INT((A74-1)/12)</f>
        <v>2032</v>
      </c>
      <c r="C74" s="6" t="n">
        <f aca="false">IF(A74=$D$7,$D$6,IF(A74&gt;$D$7,F73,0))</f>
        <v>9898500.74239718</v>
      </c>
      <c r="D74" s="6" t="n">
        <f aca="false">C74*Assumptions!$B$15/12</f>
        <v>98985.0074239718</v>
      </c>
      <c r="E74" s="6" t="n">
        <f aca="false">IF(A74-$D$7+1&gt;Assumptions!$B$16,MIN(MAX($D$8-D74,0),C74),0)</f>
        <v>1056569.56091131</v>
      </c>
      <c r="F74" s="6" t="n">
        <f aca="false">C74-E74</f>
        <v>8841931.18148587</v>
      </c>
      <c r="G74" s="2"/>
      <c r="H74" s="2"/>
      <c r="I74" s="6" t="n">
        <f aca="false">IF(A74=$J$7,$J$6,IF(A74&gt;$J$7,L73,0))</f>
        <v>31777481.4679285</v>
      </c>
      <c r="J74" s="6" t="n">
        <f aca="false">I74*Assumptions!$B$15/12</f>
        <v>317774.814679285</v>
      </c>
      <c r="K74" s="6" t="n">
        <f aca="false">IF(A74-$J$7+1&gt;Assumptions!$B$16,MIN(MAX($J$8-J74,0),I74),0)</f>
        <v>1367408.93080966</v>
      </c>
      <c r="L74" s="6" t="n">
        <f aca="false">I74-K74</f>
        <v>30410072.5371189</v>
      </c>
      <c r="M74" s="2"/>
      <c r="N74" s="2"/>
      <c r="O74" s="6" t="n">
        <f aca="false">IF(A74=$P$7,$P$6,IF(A74&gt;$P$7,R73,0))</f>
        <v>21292881.2505598</v>
      </c>
      <c r="P74" s="6" t="n">
        <f aca="false">O74*Assumptions!$B$15/12</f>
        <v>212928.812505598</v>
      </c>
      <c r="Q74" s="6" t="n">
        <f aca="false">IF(A74-$P$7+1&gt;Assumptions!$B$16,MIN(MAX($P$8-P74,0),O74),0)</f>
        <v>547811.278315126</v>
      </c>
      <c r="R74" s="6" t="n">
        <f aca="false">O74-Q74</f>
        <v>20745069.9722446</v>
      </c>
    </row>
    <row r="75" customFormat="false" ht="15" hidden="false" customHeight="false" outlineLevel="0" collapsed="false">
      <c r="A75" s="28" t="n">
        <v>65</v>
      </c>
      <c r="B75" s="29" t="n">
        <f aca="false">2027+INT((A75-1)/12)</f>
        <v>2032</v>
      </c>
      <c r="C75" s="6" t="n">
        <f aca="false">IF(A75=$D$7,$D$6,IF(A75&gt;$D$7,F74,0))</f>
        <v>8841931.18148587</v>
      </c>
      <c r="D75" s="6" t="n">
        <f aca="false">C75*Assumptions!$B$15/12</f>
        <v>88419.3118148587</v>
      </c>
      <c r="E75" s="6" t="n">
        <f aca="false">IF(A75-$D$7+1&gt;Assumptions!$B$16,MIN(MAX($D$8-D75,0),C75),0)</f>
        <v>1067135.25652042</v>
      </c>
      <c r="F75" s="6" t="n">
        <f aca="false">C75-E75</f>
        <v>7774795.92496545</v>
      </c>
      <c r="G75" s="2"/>
      <c r="H75" s="2"/>
      <c r="I75" s="6" t="n">
        <f aca="false">IF(A75=$J$7,$J$6,IF(A75&gt;$J$7,L74,0))</f>
        <v>30410072.5371189</v>
      </c>
      <c r="J75" s="6" t="n">
        <f aca="false">I75*Assumptions!$B$15/12</f>
        <v>304100.725371189</v>
      </c>
      <c r="K75" s="6" t="n">
        <f aca="false">IF(A75-$J$7+1&gt;Assumptions!$B$16,MIN(MAX($J$8-J75,0),I75),0)</f>
        <v>1381083.02011776</v>
      </c>
      <c r="L75" s="6" t="n">
        <f aca="false">I75-K75</f>
        <v>29028989.5170011</v>
      </c>
      <c r="M75" s="2"/>
      <c r="N75" s="2"/>
      <c r="O75" s="6" t="n">
        <f aca="false">IF(A75=$P$7,$P$6,IF(A75&gt;$P$7,R74,0))</f>
        <v>20745069.9722446</v>
      </c>
      <c r="P75" s="6" t="n">
        <f aca="false">O75*Assumptions!$B$15/12</f>
        <v>207450.699722446</v>
      </c>
      <c r="Q75" s="6" t="n">
        <f aca="false">IF(A75-$P$7+1&gt;Assumptions!$B$16,MIN(MAX($P$8-P75,0),O75),0)</f>
        <v>553289.391098278</v>
      </c>
      <c r="R75" s="6" t="n">
        <f aca="false">O75-Q75</f>
        <v>20191780.5811464</v>
      </c>
    </row>
    <row r="76" customFormat="false" ht="15" hidden="false" customHeight="false" outlineLevel="0" collapsed="false">
      <c r="A76" s="28" t="n">
        <v>66</v>
      </c>
      <c r="B76" s="29" t="n">
        <f aca="false">2027+INT((A76-1)/12)</f>
        <v>2032</v>
      </c>
      <c r="C76" s="6" t="n">
        <f aca="false">IF(A76=$D$7,$D$6,IF(A76&gt;$D$7,F75,0))</f>
        <v>7774795.92496545</v>
      </c>
      <c r="D76" s="6" t="n">
        <f aca="false">C76*Assumptions!$B$15/12</f>
        <v>77747.9592496545</v>
      </c>
      <c r="E76" s="6" t="n">
        <f aca="false">IF(A76-$D$7+1&gt;Assumptions!$B$16,MIN(MAX($D$8-D76,0),C76),0)</f>
        <v>1077806.60908562</v>
      </c>
      <c r="F76" s="6" t="n">
        <f aca="false">C76-E76</f>
        <v>6696989.31587983</v>
      </c>
      <c r="G76" s="2"/>
      <c r="H76" s="2"/>
      <c r="I76" s="6" t="n">
        <f aca="false">IF(A76=$J$7,$J$6,IF(A76&gt;$J$7,L75,0))</f>
        <v>29028989.5170011</v>
      </c>
      <c r="J76" s="6" t="n">
        <f aca="false">I76*Assumptions!$B$15/12</f>
        <v>290289.895170011</v>
      </c>
      <c r="K76" s="6" t="n">
        <f aca="false">IF(A76-$J$7+1&gt;Assumptions!$B$16,MIN(MAX($J$8-J76,0),I76),0)</f>
        <v>1394893.85031893</v>
      </c>
      <c r="L76" s="6" t="n">
        <f aca="false">I76-K76</f>
        <v>27634095.6666822</v>
      </c>
      <c r="M76" s="2"/>
      <c r="N76" s="2"/>
      <c r="O76" s="6" t="n">
        <f aca="false">IF(A76=$P$7,$P$6,IF(A76&gt;$P$7,R75,0))</f>
        <v>20191780.5811464</v>
      </c>
      <c r="P76" s="6" t="n">
        <f aca="false">O76*Assumptions!$B$15/12</f>
        <v>201917.805811463</v>
      </c>
      <c r="Q76" s="6" t="n">
        <f aca="false">IF(A76-$P$7+1&gt;Assumptions!$B$16,MIN(MAX($P$8-P76,0),O76),0)</f>
        <v>558822.28500926</v>
      </c>
      <c r="R76" s="6" t="n">
        <f aca="false">O76-Q76</f>
        <v>19632958.2961371</v>
      </c>
    </row>
    <row r="77" customFormat="false" ht="15" hidden="false" customHeight="false" outlineLevel="0" collapsed="false">
      <c r="A77" s="28" t="n">
        <v>67</v>
      </c>
      <c r="B77" s="29" t="n">
        <f aca="false">2027+INT((A77-1)/12)</f>
        <v>2032</v>
      </c>
      <c r="C77" s="6" t="n">
        <f aca="false">IF(A77=$D$7,$D$6,IF(A77&gt;$D$7,F76,0))</f>
        <v>6696989.31587983</v>
      </c>
      <c r="D77" s="6" t="n">
        <f aca="false">C77*Assumptions!$B$15/12</f>
        <v>66969.8931587983</v>
      </c>
      <c r="E77" s="6" t="n">
        <f aca="false">IF(A77-$D$7+1&gt;Assumptions!$B$16,MIN(MAX($D$8-D77,0),C77),0)</f>
        <v>1088584.67517648</v>
      </c>
      <c r="F77" s="6" t="n">
        <f aca="false">C77-E77</f>
        <v>5608404.64070335</v>
      </c>
      <c r="G77" s="2"/>
      <c r="H77" s="2"/>
      <c r="I77" s="6" t="n">
        <f aca="false">IF(A77=$J$7,$J$6,IF(A77&gt;$J$7,L76,0))</f>
        <v>27634095.6666822</v>
      </c>
      <c r="J77" s="6" t="n">
        <f aca="false">I77*Assumptions!$B$15/12</f>
        <v>276340.956666822</v>
      </c>
      <c r="K77" s="6" t="n">
        <f aca="false">IF(A77-$J$7+1&gt;Assumptions!$B$16,MIN(MAX($J$8-J77,0),I77),0)</f>
        <v>1408842.78882212</v>
      </c>
      <c r="L77" s="6" t="n">
        <f aca="false">I77-K77</f>
        <v>26225252.8778601</v>
      </c>
      <c r="M77" s="2"/>
      <c r="N77" s="2"/>
      <c r="O77" s="6" t="n">
        <f aca="false">IF(A77=$P$7,$P$6,IF(A77&gt;$P$7,R76,0))</f>
        <v>19632958.2961371</v>
      </c>
      <c r="P77" s="6" t="n">
        <f aca="false">O77*Assumptions!$B$15/12</f>
        <v>196329.582961371</v>
      </c>
      <c r="Q77" s="6" t="n">
        <f aca="false">IF(A77-$P$7+1&gt;Assumptions!$B$16,MIN(MAX($P$8-P77,0),O77),0)</f>
        <v>564410.507859353</v>
      </c>
      <c r="R77" s="6" t="n">
        <f aca="false">O77-Q77</f>
        <v>19068547.7882777</v>
      </c>
    </row>
    <row r="78" customFormat="false" ht="15" hidden="false" customHeight="false" outlineLevel="0" collapsed="false">
      <c r="A78" s="28" t="n">
        <v>68</v>
      </c>
      <c r="B78" s="29" t="n">
        <f aca="false">2027+INT((A78-1)/12)</f>
        <v>2032</v>
      </c>
      <c r="C78" s="6" t="n">
        <f aca="false">IF(A78=$D$7,$D$6,IF(A78&gt;$D$7,F77,0))</f>
        <v>5608404.64070335</v>
      </c>
      <c r="D78" s="6" t="n">
        <f aca="false">C78*Assumptions!$B$15/12</f>
        <v>56084.0464070335</v>
      </c>
      <c r="E78" s="6" t="n">
        <f aca="false">IF(A78-$D$7+1&gt;Assumptions!$B$16,MIN(MAX($D$8-D78,0),C78),0)</f>
        <v>1099470.52192824</v>
      </c>
      <c r="F78" s="6" t="n">
        <f aca="false">C78-E78</f>
        <v>4508934.11877511</v>
      </c>
      <c r="G78" s="2"/>
      <c r="H78" s="2"/>
      <c r="I78" s="6" t="n">
        <f aca="false">IF(A78=$J$7,$J$6,IF(A78&gt;$J$7,L77,0))</f>
        <v>26225252.8778601</v>
      </c>
      <c r="J78" s="6" t="n">
        <f aca="false">I78*Assumptions!$B$15/12</f>
        <v>262252.528778601</v>
      </c>
      <c r="K78" s="6" t="n">
        <f aca="false">IF(A78-$J$7+1&gt;Assumptions!$B$16,MIN(MAX($J$8-J78,0),I78),0)</f>
        <v>1422931.21671034</v>
      </c>
      <c r="L78" s="6" t="n">
        <f aca="false">I78-K78</f>
        <v>24802321.6611497</v>
      </c>
      <c r="M78" s="2"/>
      <c r="N78" s="2"/>
      <c r="O78" s="6" t="n">
        <f aca="false">IF(A78=$P$7,$P$6,IF(A78&gt;$P$7,R77,0))</f>
        <v>19068547.7882777</v>
      </c>
      <c r="P78" s="6" t="n">
        <f aca="false">O78*Assumptions!$B$15/12</f>
        <v>190685.477882777</v>
      </c>
      <c r="Q78" s="6" t="n">
        <f aca="false">IF(A78-$P$7+1&gt;Assumptions!$B$16,MIN(MAX($P$8-P78,0),O78),0)</f>
        <v>570054.612937947</v>
      </c>
      <c r="R78" s="6" t="n">
        <f aca="false">O78-Q78</f>
        <v>18498493.1753398</v>
      </c>
    </row>
    <row r="79" customFormat="false" ht="15" hidden="false" customHeight="false" outlineLevel="0" collapsed="false">
      <c r="A79" s="28" t="n">
        <v>69</v>
      </c>
      <c r="B79" s="29" t="n">
        <f aca="false">2027+INT((A79-1)/12)</f>
        <v>2032</v>
      </c>
      <c r="C79" s="6" t="n">
        <f aca="false">IF(A79=$D$7,$D$6,IF(A79&gt;$D$7,F78,0))</f>
        <v>4508934.11877511</v>
      </c>
      <c r="D79" s="6" t="n">
        <f aca="false">C79*Assumptions!$B$15/12</f>
        <v>45089.3411877511</v>
      </c>
      <c r="E79" s="6" t="n">
        <f aca="false">IF(A79-$D$7+1&gt;Assumptions!$B$16,MIN(MAX($D$8-D79,0),C79),0)</f>
        <v>1110465.22714753</v>
      </c>
      <c r="F79" s="6" t="n">
        <f aca="false">C79-E79</f>
        <v>3398468.89162758</v>
      </c>
      <c r="G79" s="2"/>
      <c r="H79" s="2"/>
      <c r="I79" s="6" t="n">
        <f aca="false">IF(A79=$J$7,$J$6,IF(A79&gt;$J$7,L78,0))</f>
        <v>24802321.6611497</v>
      </c>
      <c r="J79" s="6" t="n">
        <f aca="false">I79*Assumptions!$B$15/12</f>
        <v>248023.216611497</v>
      </c>
      <c r="K79" s="6" t="n">
        <f aca="false">IF(A79-$J$7+1&gt;Assumptions!$B$16,MIN(MAX($J$8-J79,0),I79),0)</f>
        <v>1437160.52887745</v>
      </c>
      <c r="L79" s="6" t="n">
        <f aca="false">I79-K79</f>
        <v>23365161.1322723</v>
      </c>
      <c r="M79" s="2"/>
      <c r="N79" s="2"/>
      <c r="O79" s="6" t="n">
        <f aca="false">IF(A79=$P$7,$P$6,IF(A79&gt;$P$7,R78,0))</f>
        <v>18498493.1753398</v>
      </c>
      <c r="P79" s="6" t="n">
        <f aca="false">O79*Assumptions!$B$15/12</f>
        <v>184984.931753398</v>
      </c>
      <c r="Q79" s="6" t="n">
        <f aca="false">IF(A79-$P$7+1&gt;Assumptions!$B$16,MIN(MAX($P$8-P79,0),O79),0)</f>
        <v>575755.159067326</v>
      </c>
      <c r="R79" s="6" t="n">
        <f aca="false">O79-Q79</f>
        <v>17922738.0162725</v>
      </c>
    </row>
    <row r="80" customFormat="false" ht="15" hidden="false" customHeight="false" outlineLevel="0" collapsed="false">
      <c r="A80" s="28" t="n">
        <v>70</v>
      </c>
      <c r="B80" s="29" t="n">
        <f aca="false">2027+INT((A80-1)/12)</f>
        <v>2032</v>
      </c>
      <c r="C80" s="6" t="n">
        <f aca="false">IF(A80=$D$7,$D$6,IF(A80&gt;$D$7,F79,0))</f>
        <v>3398468.89162758</v>
      </c>
      <c r="D80" s="6" t="n">
        <f aca="false">C80*Assumptions!$B$15/12</f>
        <v>33984.6889162758</v>
      </c>
      <c r="E80" s="6" t="n">
        <f aca="false">IF(A80-$D$7+1&gt;Assumptions!$B$16,MIN(MAX($D$8-D80,0),C80),0)</f>
        <v>1121569.879419</v>
      </c>
      <c r="F80" s="6" t="n">
        <f aca="false">C80-E80</f>
        <v>2276899.01220858</v>
      </c>
      <c r="G80" s="2"/>
      <c r="H80" s="2"/>
      <c r="I80" s="6" t="n">
        <f aca="false">IF(A80=$J$7,$J$6,IF(A80&gt;$J$7,L79,0))</f>
        <v>23365161.1322723</v>
      </c>
      <c r="J80" s="6" t="n">
        <f aca="false">I80*Assumptions!$B$15/12</f>
        <v>233651.611322723</v>
      </c>
      <c r="K80" s="6" t="n">
        <f aca="false">IF(A80-$J$7+1&gt;Assumptions!$B$16,MIN(MAX($J$8-J80,0),I80),0)</f>
        <v>1451532.13416622</v>
      </c>
      <c r="L80" s="6" t="n">
        <f aca="false">I80-K80</f>
        <v>21913628.998106</v>
      </c>
      <c r="M80" s="2"/>
      <c r="N80" s="2"/>
      <c r="O80" s="6" t="n">
        <f aca="false">IF(A80=$P$7,$P$6,IF(A80&gt;$P$7,R79,0))</f>
        <v>17922738.0162725</v>
      </c>
      <c r="P80" s="6" t="n">
        <f aca="false">O80*Assumptions!$B$15/12</f>
        <v>179227.380162725</v>
      </c>
      <c r="Q80" s="6" t="n">
        <f aca="false">IF(A80-$P$7+1&gt;Assumptions!$B$16,MIN(MAX($P$8-P80,0),O80),0)</f>
        <v>581512.710657999</v>
      </c>
      <c r="R80" s="6" t="n">
        <f aca="false">O80-Q80</f>
        <v>17341225.3056145</v>
      </c>
    </row>
    <row r="81" customFormat="false" ht="15" hidden="false" customHeight="false" outlineLevel="0" collapsed="false">
      <c r="A81" s="28" t="n">
        <v>71</v>
      </c>
      <c r="B81" s="29" t="n">
        <f aca="false">2027+INT((A81-1)/12)</f>
        <v>2032</v>
      </c>
      <c r="C81" s="6" t="n">
        <f aca="false">IF(A81=$D$7,$D$6,IF(A81&gt;$D$7,F80,0))</f>
        <v>2276899.01220858</v>
      </c>
      <c r="D81" s="6" t="n">
        <f aca="false">C81*Assumptions!$B$15/12</f>
        <v>22768.9901220858</v>
      </c>
      <c r="E81" s="6" t="n">
        <f aca="false">IF(A81-$D$7+1&gt;Assumptions!$B$16,MIN(MAX($D$8-D81,0),C81),0)</f>
        <v>1132785.57821319</v>
      </c>
      <c r="F81" s="6" t="n">
        <f aca="false">C81-E81</f>
        <v>1144113.43399539</v>
      </c>
      <c r="G81" s="2"/>
      <c r="H81" s="2"/>
      <c r="I81" s="6" t="n">
        <f aca="false">IF(A81=$J$7,$J$6,IF(A81&gt;$J$7,L80,0))</f>
        <v>21913628.998106</v>
      </c>
      <c r="J81" s="6" t="n">
        <f aca="false">I81*Assumptions!$B$15/12</f>
        <v>219136.28998106</v>
      </c>
      <c r="K81" s="6" t="n">
        <f aca="false">IF(A81-$J$7+1&gt;Assumptions!$B$16,MIN(MAX($J$8-J81,0),I81),0)</f>
        <v>1466047.45550788</v>
      </c>
      <c r="L81" s="6" t="n">
        <f aca="false">I81-K81</f>
        <v>20447581.5425982</v>
      </c>
      <c r="M81" s="2"/>
      <c r="N81" s="2"/>
      <c r="O81" s="6" t="n">
        <f aca="false">IF(A81=$P$7,$P$6,IF(A81&gt;$P$7,R80,0))</f>
        <v>17341225.3056145</v>
      </c>
      <c r="P81" s="6" t="n">
        <f aca="false">O81*Assumptions!$B$15/12</f>
        <v>173412.253056145</v>
      </c>
      <c r="Q81" s="6" t="n">
        <f aca="false">IF(A81-$P$7+1&gt;Assumptions!$B$16,MIN(MAX($P$8-P81,0),O81),0)</f>
        <v>587327.837764579</v>
      </c>
      <c r="R81" s="6" t="n">
        <f aca="false">O81-Q81</f>
        <v>16753897.4678499</v>
      </c>
    </row>
    <row r="82" customFormat="false" ht="15" hidden="false" customHeight="false" outlineLevel="0" collapsed="false">
      <c r="A82" s="28" t="n">
        <v>72</v>
      </c>
      <c r="B82" s="29" t="n">
        <f aca="false">2027+INT((A82-1)/12)</f>
        <v>2032</v>
      </c>
      <c r="C82" s="6" t="n">
        <f aca="false">IF(A82=$D$7,$D$6,IF(A82&gt;$D$7,F81,0))</f>
        <v>1144113.43399539</v>
      </c>
      <c r="D82" s="6" t="n">
        <f aca="false">C82*Assumptions!$B$15/12</f>
        <v>11441.1343399539</v>
      </c>
      <c r="E82" s="6" t="n">
        <f aca="false">IF(A82-$D$7+1&gt;Assumptions!$B$16,MIN(MAX($D$8-D82,0),C82),0)</f>
        <v>1144113.43399532</v>
      </c>
      <c r="F82" s="6" t="n">
        <f aca="false">C82-E82</f>
        <v>6.82193785905838E-008</v>
      </c>
      <c r="G82" s="2"/>
      <c r="H82" s="2"/>
      <c r="I82" s="6" t="n">
        <f aca="false">IF(A82=$J$7,$J$6,IF(A82&gt;$J$7,L81,0))</f>
        <v>20447581.5425982</v>
      </c>
      <c r="J82" s="6" t="n">
        <f aca="false">I82*Assumptions!$B$15/12</f>
        <v>204475.815425982</v>
      </c>
      <c r="K82" s="6" t="n">
        <f aca="false">IF(A82-$J$7+1&gt;Assumptions!$B$16,MIN(MAX($J$8-J82,0),I82),0)</f>
        <v>1480707.93006296</v>
      </c>
      <c r="L82" s="6" t="n">
        <f aca="false">I82-K82</f>
        <v>18966873.6125352</v>
      </c>
      <c r="M82" s="2"/>
      <c r="N82" s="2"/>
      <c r="O82" s="6" t="n">
        <f aca="false">IF(A82=$P$7,$P$6,IF(A82&gt;$P$7,R81,0))</f>
        <v>16753897.4678499</v>
      </c>
      <c r="P82" s="6" t="n">
        <f aca="false">O82*Assumptions!$B$15/12</f>
        <v>167538.974678499</v>
      </c>
      <c r="Q82" s="6" t="n">
        <f aca="false">IF(A82-$P$7+1&gt;Assumptions!$B$16,MIN(MAX($P$8-P82,0),O82),0)</f>
        <v>593201.116142225</v>
      </c>
      <c r="R82" s="6" t="n">
        <f aca="false">O82-Q82</f>
        <v>16160696.3517077</v>
      </c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customFormat="false" ht="15" hidden="false" customHeight="false" outlineLevel="0" collapsed="false">
      <c r="A85" s="4" t="s">
        <v>168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customFormat="false" ht="15" hidden="false" customHeight="false" outlineLevel="0" collapsed="false">
      <c r="A86" s="12" t="s">
        <v>126</v>
      </c>
      <c r="B86" s="8" t="s">
        <v>127</v>
      </c>
      <c r="C86" s="8" t="s">
        <v>128</v>
      </c>
      <c r="D86" s="8" t="s">
        <v>129</v>
      </c>
      <c r="E86" s="8" t="s">
        <v>130</v>
      </c>
      <c r="F86" s="8" t="s">
        <v>131</v>
      </c>
      <c r="G86" s="8" t="s">
        <v>132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customFormat="false" ht="15" hidden="false" customHeight="false" outlineLevel="0" collapsed="false">
      <c r="A87" s="9" t="s">
        <v>169</v>
      </c>
      <c r="B87" s="6" t="n">
        <f aca="false">SUMIF($B$11:$B$82,2027,D$11:D$82)</f>
        <v>6233760</v>
      </c>
      <c r="C87" s="6" t="n">
        <f aca="false">SUMIF($B$11:$B$82,2028,D$11:D$82)</f>
        <v>5799637.19049321</v>
      </c>
      <c r="D87" s="6" t="n">
        <f aca="false">SUMIF($B$11:$B$82,2029,D$11:D$82)</f>
        <v>4776537.43655292</v>
      </c>
      <c r="E87" s="6" t="n">
        <f aca="false">SUMIF($B$11:$B$82,2030,D$11:D$82)</f>
        <v>3623683.02549115</v>
      </c>
      <c r="F87" s="6" t="n">
        <f aca="false">SUMIF($B$11:$B$82,2031,D$11:D$82)</f>
        <v>2324617.81900869</v>
      </c>
      <c r="G87" s="6" t="n">
        <f aca="false">SUMIF($B$11:$B$82,2032,D$11:D$82)</f>
        <v>860798.6285707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customFormat="false" ht="15" hidden="false" customHeight="false" outlineLevel="0" collapsed="false">
      <c r="A88" s="9" t="s">
        <v>170</v>
      </c>
      <c r="B88" s="6" t="n">
        <f aca="false">SUMIF($B$11:$B$82,2027,E$11:E$82)</f>
        <v>0</v>
      </c>
      <c r="C88" s="6" t="n">
        <f aca="false">SUMIF($B$11:$B$82,2028,E$11:E$82)</f>
        <v>8067017.62953011</v>
      </c>
      <c r="D88" s="6" t="n">
        <f aca="false">SUMIF($B$11:$B$82,2029,E$11:E$82)</f>
        <v>9090117.3834704</v>
      </c>
      <c r="E88" s="6" t="n">
        <f aca="false">SUMIF($B$11:$B$82,2030,E$11:E$82)</f>
        <v>10242971.7945322</v>
      </c>
      <c r="F88" s="6" t="n">
        <f aca="false">SUMIF($B$11:$B$82,2031,E$11:E$82)</f>
        <v>11542037.0010146</v>
      </c>
      <c r="G88" s="6" t="n">
        <f aca="false">SUMIF($B$11:$B$82,2032,E$11:E$82)</f>
        <v>13005856.1914526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customFormat="false" ht="15" hidden="false" customHeight="false" outlineLevel="0" collapsed="false">
      <c r="A89" s="9" t="s">
        <v>171</v>
      </c>
      <c r="B89" s="6" t="n">
        <f aca="false">SUMIF($B$11:$B$82,2027,J$11:J$82)</f>
        <v>0</v>
      </c>
      <c r="C89" s="6" t="n">
        <f aca="false">SUMIF($B$11:$B$82,2028,J$11:J$82)</f>
        <v>9090900</v>
      </c>
      <c r="D89" s="6" t="n">
        <f aca="false">SUMIF($B$11:$B$82,2029,J$11:J$82)</f>
        <v>8457804.23613593</v>
      </c>
      <c r="E89" s="6" t="n">
        <f aca="false">SUMIF($B$11:$B$82,2030,J$11:J$82)</f>
        <v>6965783.76163968</v>
      </c>
      <c r="F89" s="6" t="n">
        <f aca="false">SUMIF($B$11:$B$82,2031,J$11:J$82)</f>
        <v>5284537.74550793</v>
      </c>
      <c r="G89" s="6" t="n">
        <f aca="false">SUMIF($B$11:$B$82,2032,J$11:J$82)</f>
        <v>3390067.65272101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customFormat="false" ht="15" hidden="false" customHeight="false" outlineLevel="0" collapsed="false">
      <c r="A90" s="9" t="s">
        <v>172</v>
      </c>
      <c r="B90" s="6" t="n">
        <f aca="false">SUMIF($B$11:$B$82,2027,K$11:K$82)</f>
        <v>0</v>
      </c>
      <c r="C90" s="6" t="n">
        <f aca="false">SUMIF($B$11:$B$82,2028,K$11:K$82)</f>
        <v>0</v>
      </c>
      <c r="D90" s="6" t="n">
        <f aca="false">SUMIF($B$11:$B$82,2029,K$11:K$82)</f>
        <v>11764400.7097314</v>
      </c>
      <c r="E90" s="6" t="n">
        <f aca="false">SUMIF($B$11:$B$82,2030,K$11:K$82)</f>
        <v>13256421.1842277</v>
      </c>
      <c r="F90" s="6" t="n">
        <f aca="false">SUMIF($B$11:$B$82,2031,K$11:K$82)</f>
        <v>14937667.2003594</v>
      </c>
      <c r="G90" s="6" t="n">
        <f aca="false">SUMIF($B$11:$B$82,2032,K$11:K$82)</f>
        <v>16832137.2931463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customFormat="false" ht="15" hidden="false" customHeight="false" outlineLevel="0" collapsed="false">
      <c r="A91" s="9" t="s">
        <v>173</v>
      </c>
      <c r="B91" s="6" t="n">
        <f aca="false">SUMIF($B$11:$B$82,2027,P$11:P$82)</f>
        <v>0</v>
      </c>
      <c r="C91" s="6" t="n">
        <f aca="false">SUMIF($B$11:$B$82,2028,P$11:P$82)</f>
        <v>0</v>
      </c>
      <c r="D91" s="6" t="n">
        <f aca="false">SUMIF($B$11:$B$82,2029,P$11:P$82)</f>
        <v>4103892</v>
      </c>
      <c r="E91" s="6" t="n">
        <f aca="false">SUMIF($B$11:$B$82,2030,P$11:P$82)</f>
        <v>3818094.48374136</v>
      </c>
      <c r="F91" s="6" t="n">
        <f aca="false">SUMIF($B$11:$B$82,2031,P$11:P$82)</f>
        <v>3144553.81239734</v>
      </c>
      <c r="G91" s="6" t="n">
        <f aca="false">SUMIF($B$11:$B$82,2032,P$11:P$82)</f>
        <v>2385591.32511501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customFormat="false" ht="15" hidden="false" customHeight="false" outlineLevel="0" collapsed="false">
      <c r="A92" s="9" t="s">
        <v>174</v>
      </c>
      <c r="B92" s="6" t="n">
        <f aca="false">SUMIF($B$11:$B$82,2027,Q$11:Q$82)</f>
        <v>0</v>
      </c>
      <c r="C92" s="6" t="n">
        <f aca="false">SUMIF($B$11:$B$82,2028,Q$11:Q$82)</f>
        <v>0</v>
      </c>
      <c r="D92" s="6" t="n">
        <f aca="false">SUMIF($B$11:$B$82,2029,Q$11:Q$82)</f>
        <v>0</v>
      </c>
      <c r="E92" s="6" t="n">
        <f aca="false">SUMIF($B$11:$B$82,2030,Q$11:Q$82)</f>
        <v>5310786.60610732</v>
      </c>
      <c r="F92" s="6" t="n">
        <f aca="false">SUMIF($B$11:$B$82,2031,Q$11:Q$82)</f>
        <v>5984327.27745134</v>
      </c>
      <c r="G92" s="6" t="n">
        <f aca="false">SUMIF($B$11:$B$82,2032,Q$11:Q$82)</f>
        <v>6743289.76473368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customFormat="false" ht="15" hidden="false" customHeight="false" outlineLevel="0" collapsed="false">
      <c r="A93" s="12" t="s">
        <v>175</v>
      </c>
      <c r="B93" s="30" t="n">
        <f aca="false">B87+B89+B91</f>
        <v>6233760</v>
      </c>
      <c r="C93" s="30" t="n">
        <f aca="false">C87+C89+C91</f>
        <v>14890537.1904932</v>
      </c>
      <c r="D93" s="30" t="n">
        <f aca="false">D87+D89+D91</f>
        <v>17338233.6726889</v>
      </c>
      <c r="E93" s="30" t="n">
        <f aca="false">E87+E89+E91</f>
        <v>14407561.2708722</v>
      </c>
      <c r="F93" s="30" t="n">
        <f aca="false">F87+F89+F91</f>
        <v>10753709.376914</v>
      </c>
      <c r="G93" s="30" t="n">
        <f aca="false">G87+G89+G91</f>
        <v>6636457.60640671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customFormat="false" ht="15" hidden="false" customHeight="false" outlineLevel="0" collapsed="false">
      <c r="A94" s="12" t="s">
        <v>176</v>
      </c>
      <c r="B94" s="30" t="n">
        <f aca="false">B88+B90+B92</f>
        <v>0</v>
      </c>
      <c r="C94" s="30" t="n">
        <f aca="false">C88+C90+C92</f>
        <v>8067017.62953011</v>
      </c>
      <c r="D94" s="30" t="n">
        <f aca="false">D88+D90+D92</f>
        <v>20854518.0932018</v>
      </c>
      <c r="E94" s="30" t="n">
        <f aca="false">E88+E90+E92</f>
        <v>28810179.5848672</v>
      </c>
      <c r="F94" s="30" t="n">
        <f aca="false">F88+F90+F92</f>
        <v>32464031.4788254</v>
      </c>
      <c r="G94" s="30" t="n">
        <f aca="false">G88+G90+G92</f>
        <v>36581283.2493326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customFormat="false" ht="15" hidden="false" customHeight="false" outlineLevel="0" collapsed="false">
      <c r="A95" s="12" t="s">
        <v>177</v>
      </c>
      <c r="B95" s="30" t="n">
        <f aca="false">B93+B94</f>
        <v>6233760</v>
      </c>
      <c r="C95" s="30" t="n">
        <f aca="false">C93+C94</f>
        <v>22957554.8200233</v>
      </c>
      <c r="D95" s="30" t="n">
        <f aca="false">D93+D94</f>
        <v>38192751.7658907</v>
      </c>
      <c r="E95" s="30" t="n">
        <f aca="false">E93+E94</f>
        <v>43217740.8557394</v>
      </c>
      <c r="F95" s="30" t="n">
        <f aca="false">F93+F94</f>
        <v>43217740.8557394</v>
      </c>
      <c r="G95" s="30" t="n">
        <f aca="false">G93+G94</f>
        <v>43217740.8557394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customFormat="false" ht="15" hidden="false" customHeight="false" outlineLevel="0" collapsed="false">
      <c r="A96" s="12" t="s">
        <v>178</v>
      </c>
      <c r="B96" s="30" t="n">
        <f aca="false">IF(2027&gt;=Assumptions!$B$69,Debt!$D$6,0)+IF(2027&gt;=Assumptions!$B$70,Debt!$J$6,0)+IF(2027&gt;=Assumptions!$B$71,Debt!$P$6,0)-SUMIF($B$11:$B$82,"&lt;="&amp;2027,$A$11:$A$82)*0-(SUMIF($B$11:$B$82,"&lt;="&amp;2027,E$11:E$82)+SUMIF($B$11:$B$82,"&lt;="&amp;2027,K$11:K$82)+SUMIF($B$11:$B$82,"&lt;="&amp;2027,Q$11:Q$82))</f>
        <v>51948000</v>
      </c>
      <c r="C96" s="30" t="n">
        <f aca="false">IF(2028&gt;=Assumptions!$B$69,Debt!$D$6,0)+IF(2028&gt;=Assumptions!$B$70,Debt!$J$6,0)+IF(2028&gt;=Assumptions!$B$71,Debt!$P$6,0)-SUMIF($B$11:$B$82,"&lt;="&amp;2028,$A$11:$A$82)*0-(SUMIF($B$11:$B$82,"&lt;="&amp;2028,E$11:E$82)+SUMIF($B$11:$B$82,"&lt;="&amp;2028,K$11:K$82)+SUMIF($B$11:$B$82,"&lt;="&amp;2028,Q$11:Q$82))</f>
        <v>119638482.37047</v>
      </c>
      <c r="D96" s="30" t="n">
        <f aca="false">IF(2029&gt;=Assumptions!$B$69,Debt!$D$6,0)+IF(2029&gt;=Assumptions!$B$70,Debt!$J$6,0)+IF(2029&gt;=Assumptions!$B$71,Debt!$P$6,0)-SUMIF($B$11:$B$82,"&lt;="&amp;2029,$A$11:$A$82)*0-(SUMIF($B$11:$B$82,"&lt;="&amp;2029,E$11:E$82)+SUMIF($B$11:$B$82,"&lt;="&amp;2029,K$11:K$82)+SUMIF($B$11:$B$82,"&lt;="&amp;2029,Q$11:Q$82))</f>
        <v>132983064.277268</v>
      </c>
      <c r="E96" s="30" t="n">
        <f aca="false">IF(2030&gt;=Assumptions!$B$69,Debt!$D$6,0)+IF(2030&gt;=Assumptions!$B$70,Debt!$J$6,0)+IF(2030&gt;=Assumptions!$B$71,Debt!$P$6,0)-SUMIF($B$11:$B$82,"&lt;="&amp;2030,$A$11:$A$82)*0-(SUMIF($B$11:$B$82,"&lt;="&amp;2030,E$11:E$82)+SUMIF($B$11:$B$82,"&lt;="&amp;2030,K$11:K$82)+SUMIF($B$11:$B$82,"&lt;="&amp;2030,Q$11:Q$82))</f>
        <v>104172884.692401</v>
      </c>
      <c r="F96" s="30" t="n">
        <f aca="false">IF(2031&gt;=Assumptions!$B$69,Debt!$D$6,0)+IF(2031&gt;=Assumptions!$B$70,Debt!$J$6,0)+IF(2031&gt;=Assumptions!$B$71,Debt!$P$6,0)-SUMIF($B$11:$B$82,"&lt;="&amp;2031,$A$11:$A$82)*0-(SUMIF($B$11:$B$82,"&lt;="&amp;2031,E$11:E$82)+SUMIF($B$11:$B$82,"&lt;="&amp;2031,K$11:K$82)+SUMIF($B$11:$B$82,"&lt;="&amp;2031,Q$11:Q$82))</f>
        <v>71708853.2135755</v>
      </c>
      <c r="G96" s="30" t="n">
        <f aca="false">IF(2032&gt;=Assumptions!$B$69,Debt!$D$6,0)+IF(2032&gt;=Assumptions!$B$70,Debt!$J$6,0)+IF(2032&gt;=Assumptions!$B$71,Debt!$P$6,0)-SUMIF($B$11:$B$82,"&lt;="&amp;2032,$A$11:$A$82)*0-(SUMIF($B$11:$B$82,"&lt;="&amp;2032,E$11:E$82)+SUMIF($B$11:$B$82,"&lt;="&amp;2032,K$11:K$82)+SUMIF($B$11:$B$82,"&lt;="&amp;2032,Q$11:Q$82))</f>
        <v>35127569.9642429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179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180</v>
      </c>
      <c r="B2" s="10" t="n">
        <f aca="false">Assumptions!$B$6</f>
        <v>1</v>
      </c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2" t="s">
        <v>126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4" t="s">
        <v>122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9" t="s">
        <v>181</v>
      </c>
      <c r="B7" s="21" t="n">
        <f aca="false">2027-Assumptions!$B$69</f>
        <v>0</v>
      </c>
      <c r="C7" s="21" t="n">
        <f aca="false">2028-Assumptions!$B$69</f>
        <v>1</v>
      </c>
      <c r="D7" s="21" t="n">
        <f aca="false">2029-Assumptions!$B$69</f>
        <v>2</v>
      </c>
      <c r="E7" s="21" t="n">
        <f aca="false">2030-Assumptions!$B$69</f>
        <v>3</v>
      </c>
      <c r="F7" s="21" t="n">
        <f aca="false">2031-Assumptions!$B$69</f>
        <v>4</v>
      </c>
      <c r="G7" s="21" t="n">
        <f aca="false">2032-Assumptions!$B$69</f>
        <v>5</v>
      </c>
    </row>
    <row r="8" customFormat="false" ht="15" hidden="false" customHeight="false" outlineLevel="0" collapsed="false">
      <c r="A8" s="9" t="s">
        <v>182</v>
      </c>
      <c r="B8" s="18" t="n">
        <f aca="false">IF(B7&lt;0,0,IF(B7=0,Assumptions!$C$69,1))</f>
        <v>0.5</v>
      </c>
      <c r="C8" s="18" t="n">
        <f aca="false">IF(C7&lt;0,0,IF(C7=0,Assumptions!$C$69,1))</f>
        <v>1</v>
      </c>
      <c r="D8" s="18" t="n">
        <f aca="false">IF(D7&lt;0,0,IF(D7=0,Assumptions!$C$69,1))</f>
        <v>1</v>
      </c>
      <c r="E8" s="18" t="n">
        <f aca="false">IF(E7&lt;0,0,IF(E7=0,Assumptions!$C$69,1))</f>
        <v>1</v>
      </c>
      <c r="F8" s="18" t="n">
        <f aca="false">IF(F7&lt;0,0,IF(F7=0,Assumptions!$C$69,1))</f>
        <v>1</v>
      </c>
      <c r="G8" s="18" t="n">
        <f aca="false">IF(G7&lt;0,0,IF(G7=0,Assumptions!$C$69,1))</f>
        <v>1</v>
      </c>
    </row>
    <row r="9" customFormat="false" ht="15" hidden="false" customHeight="false" outlineLevel="0" collapsed="false">
      <c r="A9" s="9" t="s">
        <v>183</v>
      </c>
      <c r="B9" s="18" t="n">
        <f aca="false">B8*IF(B7=0,Assumptions!$B$56,IF(B7=1,Assumptions!$B$57,1))</f>
        <v>0.275</v>
      </c>
      <c r="C9" s="18" t="n">
        <f aca="false">C8*IF(C7=0,Assumptions!$B$56,IF(C7=1,Assumptions!$B$57,1))</f>
        <v>0.8</v>
      </c>
      <c r="D9" s="18" t="n">
        <f aca="false">D8*IF(D7=0,Assumptions!$B$56,IF(D7=1,Assumptions!$B$57,1))</f>
        <v>1</v>
      </c>
      <c r="E9" s="18" t="n">
        <f aca="false">E8*IF(E7=0,Assumptions!$B$56,IF(E7=1,Assumptions!$B$57,1))</f>
        <v>1</v>
      </c>
      <c r="F9" s="18" t="n">
        <f aca="false">F8*IF(F7=0,Assumptions!$B$56,IF(F7=1,Assumptions!$B$57,1))</f>
        <v>1</v>
      </c>
      <c r="G9" s="18" t="n">
        <f aca="false">G8*IF(G7=0,Assumptions!$B$56,IF(G7=1,Assumptions!$B$57,1))</f>
        <v>1</v>
      </c>
    </row>
    <row r="10" customFormat="false" ht="15" hidden="false" customHeight="false" outlineLevel="0" collapsed="false">
      <c r="A10" s="9" t="s">
        <v>184</v>
      </c>
      <c r="B10" s="23" t="n">
        <f aca="false">IF(B7=0,Debt!$D$5,0)</f>
        <v>57720000</v>
      </c>
      <c r="C10" s="23" t="n">
        <f aca="false">IF(C7=0,Debt!$D$5,0)</f>
        <v>0</v>
      </c>
      <c r="D10" s="23" t="n">
        <f aca="false">IF(D7=0,Debt!$D$5,0)</f>
        <v>0</v>
      </c>
      <c r="E10" s="23" t="n">
        <f aca="false">IF(E7=0,Debt!$D$5,0)</f>
        <v>0</v>
      </c>
      <c r="F10" s="23" t="n">
        <f aca="false">IF(F7=0,Debt!$D$5,0)</f>
        <v>0</v>
      </c>
      <c r="G10" s="23" t="n">
        <f aca="false">IF(G7=0,Debt!$D$5,0)</f>
        <v>0</v>
      </c>
    </row>
    <row r="11" customFormat="false" ht="15" hidden="false" customHeight="false" outlineLevel="0" collapsed="false">
      <c r="A11" s="9" t="s">
        <v>185</v>
      </c>
      <c r="B11" s="21" t="n">
        <f aca="false">IF(B7&gt;=0,SUM(Assumptions!$D$69:$F$69),0)</f>
        <v>40</v>
      </c>
      <c r="C11" s="21" t="n">
        <f aca="false">IF(C7&gt;=0,SUM(Assumptions!$D$69:$F$69),0)</f>
        <v>40</v>
      </c>
      <c r="D11" s="21" t="n">
        <f aca="false">IF(D7&gt;=0,SUM(Assumptions!$D$69:$F$69),0)</f>
        <v>40</v>
      </c>
      <c r="E11" s="21" t="n">
        <f aca="false">IF(E7&gt;=0,SUM(Assumptions!$D$69:$F$69),0)</f>
        <v>40</v>
      </c>
      <c r="F11" s="21" t="n">
        <f aca="false">IF(F7&gt;=0,SUM(Assumptions!$D$69:$F$69),0)</f>
        <v>40</v>
      </c>
      <c r="G11" s="21" t="n">
        <f aca="false">IF(G7&gt;=0,SUM(Assumptions!$D$69:$F$69),0)</f>
        <v>40</v>
      </c>
    </row>
    <row r="12" customFormat="false" ht="15" hidden="false" customHeight="false" outlineLevel="0" collapsed="false">
      <c r="A12" s="9" t="s">
        <v>186</v>
      </c>
      <c r="B12" s="21" t="n">
        <f aca="false">IF(B7&gt;=0,Assumptions!$G$69,0)</f>
        <v>20</v>
      </c>
      <c r="C12" s="21" t="n">
        <f aca="false">IF(C7&gt;=0,Assumptions!$G$69,0)</f>
        <v>20</v>
      </c>
      <c r="D12" s="21" t="n">
        <f aca="false">IF(D7&gt;=0,Assumptions!$G$69,0)</f>
        <v>20</v>
      </c>
      <c r="E12" s="21" t="n">
        <f aca="false">IF(E7&gt;=0,Assumptions!$G$69,0)</f>
        <v>20</v>
      </c>
      <c r="F12" s="21" t="n">
        <f aca="false">IF(F7&gt;=0,Assumptions!$G$69,0)</f>
        <v>20</v>
      </c>
      <c r="G12" s="21" t="n">
        <f aca="false">IF(G7&gt;=0,Assumptions!$G$69,0)</f>
        <v>20</v>
      </c>
    </row>
    <row r="13" customFormat="false" ht="15" hidden="false" customHeight="false" outlineLevel="0" collapsed="false">
      <c r="A13" s="9" t="s">
        <v>187</v>
      </c>
      <c r="B13" s="21" t="n">
        <f aca="false">(Assumptions!$D$69*MIN(Assumptions!$C$63*$B$2,Assumptions!$B$28)+Assumptions!$E$69*MIN(Assumptions!$C$64*$B$2,Assumptions!$B$28)+Assumptions!$F$69*MIN(Assumptions!$C$65*$B$2,Assumptions!$B$28))*Assumptions!$B$27*B9</f>
        <v>23760</v>
      </c>
      <c r="C13" s="21" t="n">
        <f aca="false">(Assumptions!$D$69*MIN(Assumptions!$C$63*$B$2,Assumptions!$B$28)+Assumptions!$E$69*MIN(Assumptions!$C$64*$B$2,Assumptions!$B$28)+Assumptions!$F$69*MIN(Assumptions!$C$65*$B$2,Assumptions!$B$28))*Assumptions!$B$27*C9</f>
        <v>69120</v>
      </c>
      <c r="D13" s="21" t="n">
        <f aca="false">(Assumptions!$D$69*MIN(Assumptions!$C$63*$B$2,Assumptions!$B$28)+Assumptions!$E$69*MIN(Assumptions!$C$64*$B$2,Assumptions!$B$28)+Assumptions!$F$69*MIN(Assumptions!$C$65*$B$2,Assumptions!$B$28))*Assumptions!$B$27*D9</f>
        <v>86400</v>
      </c>
      <c r="E13" s="21" t="n">
        <f aca="false">(Assumptions!$D$69*MIN(Assumptions!$C$63*$B$2,Assumptions!$B$28)+Assumptions!$E$69*MIN(Assumptions!$C$64*$B$2,Assumptions!$B$28)+Assumptions!$F$69*MIN(Assumptions!$C$65*$B$2,Assumptions!$B$28))*Assumptions!$B$27*E9</f>
        <v>86400</v>
      </c>
      <c r="F13" s="21" t="n">
        <f aca="false">(Assumptions!$D$69*MIN(Assumptions!$C$63*$B$2,Assumptions!$B$28)+Assumptions!$E$69*MIN(Assumptions!$C$64*$B$2,Assumptions!$B$28)+Assumptions!$F$69*MIN(Assumptions!$C$65*$B$2,Assumptions!$B$28))*Assumptions!$B$27*F9</f>
        <v>86400</v>
      </c>
      <c r="G13" s="21" t="n">
        <f aca="false">(Assumptions!$D$69*MIN(Assumptions!$C$63*$B$2,Assumptions!$B$28)+Assumptions!$E$69*MIN(Assumptions!$C$64*$B$2,Assumptions!$B$28)+Assumptions!$F$69*MIN(Assumptions!$C$65*$B$2,Assumptions!$B$28))*Assumptions!$B$27*G9</f>
        <v>86400</v>
      </c>
    </row>
    <row r="14" customFormat="false" ht="15" hidden="false" customHeight="false" outlineLevel="0" collapsed="false">
      <c r="A14" s="9" t="s">
        <v>142</v>
      </c>
      <c r="B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(Assumptions!$D$69*MIN(Assumptions!$C$63*$B$2,Assumptions!$B$28)*Assumptions!$D$63+Assumptions!$E$69*MIN(Assumptions!$C$64*$B$2,Assumptions!$B$28)*Assumptions!$D$64+Assumptions!$F$69*MIN(Assumptions!$C$65*$B$2,Assumptions!$B$28)*Assumptions!$D$65)*Assumptions!$B$27*B9</f>
        <v>12355200</v>
      </c>
      <c r="C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(Assumptions!$D$69*MIN(Assumptions!$C$63*$B$2,Assumptions!$B$28)*Assumptions!$D$63+Assumptions!$E$69*MIN(Assumptions!$C$64*$B$2,Assumptions!$B$28)*Assumptions!$D$64+Assumptions!$F$69*MIN(Assumptions!$C$65*$B$2,Assumptions!$B$28)*Assumptions!$D$65)*Assumptions!$B$27*C9</f>
        <v>35942400</v>
      </c>
      <c r="D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(Assumptions!$D$69*MIN(Assumptions!$C$63*$B$2,Assumptions!$B$28)*Assumptions!$D$63+Assumptions!$E$69*MIN(Assumptions!$C$64*$B$2,Assumptions!$B$28)*Assumptions!$D$64+Assumptions!$F$69*MIN(Assumptions!$C$65*$B$2,Assumptions!$B$28)*Assumptions!$D$65)*Assumptions!$B$27*D9</f>
        <v>44928000</v>
      </c>
      <c r="E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(Assumptions!$D$69*MIN(Assumptions!$C$63*$B$2,Assumptions!$B$28)*Assumptions!$D$63+Assumptions!$E$69*MIN(Assumptions!$C$64*$B$2,Assumptions!$B$28)*Assumptions!$D$64+Assumptions!$F$69*MIN(Assumptions!$C$65*$B$2,Assumptions!$B$28)*Assumptions!$D$65)*Assumptions!$B$27*E9</f>
        <v>44928000</v>
      </c>
      <c r="F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(Assumptions!$D$69*MIN(Assumptions!$C$63*$B$2,Assumptions!$B$28)*Assumptions!$D$63+Assumptions!$E$69*MIN(Assumptions!$C$64*$B$2,Assumptions!$B$28)*Assumptions!$D$64+Assumptions!$F$69*MIN(Assumptions!$C$65*$B$2,Assumptions!$B$28)*Assumptions!$D$65)*Assumptions!$B$27*F9</f>
        <v>44928000</v>
      </c>
      <c r="G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(Assumptions!$D$69*MIN(Assumptions!$C$63*$B$2,Assumptions!$B$28)*Assumptions!$D$63+Assumptions!$E$69*MIN(Assumptions!$C$64*$B$2,Assumptions!$B$28)*Assumptions!$D$64+Assumptions!$F$69*MIN(Assumptions!$C$65*$B$2,Assumptions!$B$28)*Assumptions!$D$65)*Assumptions!$B$27*G9</f>
        <v>44928000</v>
      </c>
    </row>
    <row r="15" customFormat="false" ht="15" hidden="false" customHeight="false" outlineLevel="0" collapsed="false">
      <c r="A15" s="9" t="s">
        <v>188</v>
      </c>
      <c r="B15" s="23" t="n">
        <f aca="false">Assumptions!$G$69*Assumptions!$B$33*Assumptions!$B$35*$B$2*IF(B7=0,Assumptions!$B$36,IF(B7=1,Assumptions!$B$37,1))*Assumptions!$B$34*12*B8</f>
        <v>986172.352941176</v>
      </c>
      <c r="C15" s="23" t="n">
        <f aca="false">Assumptions!$G$69*Assumptions!$B$33*Assumptions!$B$35*$B$2*IF(C7=0,Assumptions!$B$36,IF(C7=1,Assumptions!$B$37,1))*Assumptions!$B$34*12*C8</f>
        <v>3698146.32352941</v>
      </c>
      <c r="D15" s="23" t="n">
        <f aca="false">Assumptions!$G$69*Assumptions!$B$33*Assumptions!$B$35*$B$2*IF(D7=0,Assumptions!$B$36,IF(D7=1,Assumptions!$B$37,1))*Assumptions!$B$34*12*D8</f>
        <v>4930861.76470588</v>
      </c>
      <c r="E15" s="23" t="n">
        <f aca="false">Assumptions!$G$69*Assumptions!$B$33*Assumptions!$B$35*$B$2*IF(E7=0,Assumptions!$B$36,IF(E7=1,Assumptions!$B$37,1))*Assumptions!$B$34*12*E8</f>
        <v>4930861.76470588</v>
      </c>
      <c r="F15" s="23" t="n">
        <f aca="false">Assumptions!$G$69*Assumptions!$B$33*Assumptions!$B$35*$B$2*IF(F7=0,Assumptions!$B$36,IF(F7=1,Assumptions!$B$37,1))*Assumptions!$B$34*12*F8</f>
        <v>4930861.76470588</v>
      </c>
      <c r="G15" s="23" t="n">
        <f aca="false">Assumptions!$G$69*Assumptions!$B$33*Assumptions!$B$35*$B$2*IF(G7=0,Assumptions!$B$36,IF(G7=1,Assumptions!$B$37,1))*Assumptions!$B$34*12*G8</f>
        <v>4930861.76470588</v>
      </c>
    </row>
    <row r="16" customFormat="false" ht="15" hidden="false" customHeight="false" outlineLevel="0" collapsed="false">
      <c r="A16" s="9" t="s">
        <v>144</v>
      </c>
      <c r="B16" s="23" t="n">
        <f aca="false">B11*Assumptions!$B$40*B9</f>
        <v>440000</v>
      </c>
      <c r="C16" s="23" t="n">
        <f aca="false">C11*Assumptions!$B$40*C9</f>
        <v>1280000</v>
      </c>
      <c r="D16" s="23" t="n">
        <f aca="false">D11*Assumptions!$B$40*D9</f>
        <v>1600000</v>
      </c>
      <c r="E16" s="23" t="n">
        <f aca="false">E11*Assumptions!$B$40*E9</f>
        <v>1600000</v>
      </c>
      <c r="F16" s="23" t="n">
        <f aca="false">F11*Assumptions!$B$40*F9</f>
        <v>1600000</v>
      </c>
      <c r="G16" s="23" t="n">
        <f aca="false">G11*Assumptions!$B$40*G9</f>
        <v>1600000</v>
      </c>
    </row>
    <row r="17" customFormat="false" ht="15" hidden="false" customHeight="false" outlineLevel="0" collapsed="false">
      <c r="A17" s="9" t="s">
        <v>189</v>
      </c>
      <c r="B17" s="23" t="n">
        <f aca="false">B13*Assumptions!$B$45</f>
        <v>564300</v>
      </c>
      <c r="C17" s="23" t="n">
        <f aca="false">C13*Assumptions!$B$45</f>
        <v>1641600</v>
      </c>
      <c r="D17" s="23" t="n">
        <f aca="false">D13*Assumptions!$B$45</f>
        <v>2052000</v>
      </c>
      <c r="E17" s="23" t="n">
        <f aca="false">E13*Assumptions!$B$45</f>
        <v>2052000</v>
      </c>
      <c r="F17" s="23" t="n">
        <f aca="false">F13*Assumptions!$B$45</f>
        <v>2052000</v>
      </c>
      <c r="G17" s="23" t="n">
        <f aca="false">G13*Assumptions!$B$45</f>
        <v>2052000</v>
      </c>
    </row>
    <row r="18" customFormat="false" ht="15" hidden="false" customHeight="false" outlineLevel="0" collapsed="false">
      <c r="A18" s="9" t="s">
        <v>146</v>
      </c>
      <c r="B18" s="23" t="n">
        <f aca="false">B11*Assumptions!$B$41*B8</f>
        <v>500000</v>
      </c>
      <c r="C18" s="23" t="n">
        <f aca="false">C11*Assumptions!$B$41*C8</f>
        <v>1000000</v>
      </c>
      <c r="D18" s="23" t="n">
        <f aca="false">D11*Assumptions!$B$41*D8</f>
        <v>1000000</v>
      </c>
      <c r="E18" s="23" t="n">
        <f aca="false">E11*Assumptions!$B$41*E8</f>
        <v>1000000</v>
      </c>
      <c r="F18" s="23" t="n">
        <f aca="false">F11*Assumptions!$B$41*F8</f>
        <v>1000000</v>
      </c>
      <c r="G18" s="23" t="n">
        <f aca="false">G11*Assumptions!$B$41*G8</f>
        <v>1000000</v>
      </c>
    </row>
    <row r="19" customFormat="false" ht="15" hidden="false" customHeight="false" outlineLevel="0" collapsed="false">
      <c r="A19" s="9" t="s">
        <v>150</v>
      </c>
      <c r="B19" s="23" t="n">
        <f aca="false">(Assumptions!$D$69*Assumptions!$B$63*Assumptions!$B$12+Assumptions!$E$69*Assumptions!$B$64*Assumptions!$B$12+Assumptions!$F$69*Assumptions!$B$65*Assumptions!$B$12)*Assumptions!$B$51*B8</f>
        <v>888000</v>
      </c>
      <c r="C19" s="23" t="n">
        <f aca="false">(Assumptions!$D$69*Assumptions!$B$63*Assumptions!$B$12+Assumptions!$E$69*Assumptions!$B$64*Assumptions!$B$12+Assumptions!$F$69*Assumptions!$B$65*Assumptions!$B$12)*Assumptions!$B$51*C8</f>
        <v>1776000</v>
      </c>
      <c r="D19" s="23" t="n">
        <f aca="false">(Assumptions!$D$69*Assumptions!$B$63*Assumptions!$B$12+Assumptions!$E$69*Assumptions!$B$64*Assumptions!$B$12+Assumptions!$F$69*Assumptions!$B$65*Assumptions!$B$12)*Assumptions!$B$51*D8</f>
        <v>1776000</v>
      </c>
      <c r="E19" s="23" t="n">
        <f aca="false">(Assumptions!$D$69*Assumptions!$B$63*Assumptions!$B$12+Assumptions!$E$69*Assumptions!$B$64*Assumptions!$B$12+Assumptions!$F$69*Assumptions!$B$65*Assumptions!$B$12)*Assumptions!$B$51*E8</f>
        <v>1776000</v>
      </c>
      <c r="F19" s="23" t="n">
        <f aca="false">(Assumptions!$D$69*Assumptions!$B$63*Assumptions!$B$12+Assumptions!$E$69*Assumptions!$B$64*Assumptions!$B$12+Assumptions!$F$69*Assumptions!$B$65*Assumptions!$B$12)*Assumptions!$B$51*F8</f>
        <v>1776000</v>
      </c>
      <c r="G19" s="23" t="n">
        <f aca="false">(Assumptions!$D$69*Assumptions!$B$63*Assumptions!$B$12+Assumptions!$E$69*Assumptions!$B$64*Assumptions!$B$12+Assumptions!$F$69*Assumptions!$B$65*Assumptions!$B$12)*Assumptions!$B$51*G8</f>
        <v>1776000</v>
      </c>
    </row>
    <row r="20" customFormat="false" ht="15" hidden="false" customHeight="false" outlineLevel="0" collapsed="false">
      <c r="A20" s="9" t="s">
        <v>151</v>
      </c>
      <c r="B20" s="23" t="n">
        <f aca="false">B11*Assumptions!$B$52*B8</f>
        <v>480000</v>
      </c>
      <c r="C20" s="23" t="n">
        <f aca="false">C11*Assumptions!$B$52*C8</f>
        <v>960000</v>
      </c>
      <c r="D20" s="23" t="n">
        <f aca="false">D11*Assumptions!$B$52*D8</f>
        <v>960000</v>
      </c>
      <c r="E20" s="23" t="n">
        <f aca="false">E11*Assumptions!$B$52*E8</f>
        <v>960000</v>
      </c>
      <c r="F20" s="23" t="n">
        <f aca="false">F11*Assumptions!$B$52*F8</f>
        <v>960000</v>
      </c>
      <c r="G20" s="23" t="n">
        <f aca="false">G11*Assumptions!$B$52*G8</f>
        <v>960000</v>
      </c>
    </row>
    <row r="21" customFormat="false" ht="15" hidden="false" customHeight="false" outlineLevel="0" collapsed="false">
      <c r="A21" s="9" t="s">
        <v>152</v>
      </c>
      <c r="B21" s="23" t="n">
        <f aca="false">Debt!$D$5*Assumptions!$B$50*B8</f>
        <v>288600</v>
      </c>
      <c r="C21" s="23" t="n">
        <f aca="false">Debt!$D$5*Assumptions!$B$50*C8</f>
        <v>577200</v>
      </c>
      <c r="D21" s="23" t="n">
        <f aca="false">Debt!$D$5*Assumptions!$B$50*D8</f>
        <v>577200</v>
      </c>
      <c r="E21" s="23" t="n">
        <f aca="false">Debt!$D$5*Assumptions!$B$50*E8</f>
        <v>577200</v>
      </c>
      <c r="F21" s="23" t="n">
        <f aca="false">Debt!$D$5*Assumptions!$B$50*F8</f>
        <v>577200</v>
      </c>
      <c r="G21" s="23" t="n">
        <f aca="false">Debt!$D$5*Assumptions!$B$50*G8</f>
        <v>577200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4" t="s">
        <v>123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9" t="s">
        <v>181</v>
      </c>
      <c r="B24" s="21" t="n">
        <f aca="false">2027-Assumptions!$B$70</f>
        <v>-1</v>
      </c>
      <c r="C24" s="21" t="n">
        <f aca="false">2028-Assumptions!$B$70</f>
        <v>0</v>
      </c>
      <c r="D24" s="21" t="n">
        <f aca="false">2029-Assumptions!$B$70</f>
        <v>1</v>
      </c>
      <c r="E24" s="21" t="n">
        <f aca="false">2030-Assumptions!$B$70</f>
        <v>2</v>
      </c>
      <c r="F24" s="21" t="n">
        <f aca="false">2031-Assumptions!$B$70</f>
        <v>3</v>
      </c>
      <c r="G24" s="21" t="n">
        <f aca="false">2032-Assumptions!$B$70</f>
        <v>4</v>
      </c>
    </row>
    <row r="25" customFormat="false" ht="15" hidden="false" customHeight="false" outlineLevel="0" collapsed="false">
      <c r="A25" s="9" t="s">
        <v>182</v>
      </c>
      <c r="B25" s="18" t="n">
        <f aca="false">IF(B24&lt;0,0,IF(B24=0,Assumptions!$C$70,1))</f>
        <v>0</v>
      </c>
      <c r="C25" s="18" t="n">
        <f aca="false">IF(C24&lt;0,0,IF(C24=0,Assumptions!$C$70,1))</f>
        <v>0.5</v>
      </c>
      <c r="D25" s="18" t="n">
        <f aca="false">IF(D24&lt;0,0,IF(D24=0,Assumptions!$C$70,1))</f>
        <v>1</v>
      </c>
      <c r="E25" s="18" t="n">
        <f aca="false">IF(E24&lt;0,0,IF(E24=0,Assumptions!$C$70,1))</f>
        <v>1</v>
      </c>
      <c r="F25" s="18" t="n">
        <f aca="false">IF(F24&lt;0,0,IF(F24=0,Assumptions!$C$70,1))</f>
        <v>1</v>
      </c>
      <c r="G25" s="18" t="n">
        <f aca="false">IF(G24&lt;0,0,IF(G24=0,Assumptions!$C$70,1))</f>
        <v>1</v>
      </c>
    </row>
    <row r="26" customFormat="false" ht="15" hidden="false" customHeight="false" outlineLevel="0" collapsed="false">
      <c r="A26" s="9" t="s">
        <v>183</v>
      </c>
      <c r="B26" s="18" t="n">
        <f aca="false">B25*IF(B24=0,Assumptions!$B$56,IF(B24=1,Assumptions!$B$57,1))</f>
        <v>0</v>
      </c>
      <c r="C26" s="18" t="n">
        <f aca="false">C25*IF(C24=0,Assumptions!$B$56,IF(C24=1,Assumptions!$B$57,1))</f>
        <v>0.275</v>
      </c>
      <c r="D26" s="18" t="n">
        <f aca="false">D25*IF(D24=0,Assumptions!$B$56,IF(D24=1,Assumptions!$B$57,1))</f>
        <v>0.8</v>
      </c>
      <c r="E26" s="18" t="n">
        <f aca="false">E25*IF(E24=0,Assumptions!$B$56,IF(E24=1,Assumptions!$B$57,1))</f>
        <v>1</v>
      </c>
      <c r="F26" s="18" t="n">
        <f aca="false">F25*IF(F24=0,Assumptions!$B$56,IF(F24=1,Assumptions!$B$57,1))</f>
        <v>1</v>
      </c>
      <c r="G26" s="18" t="n">
        <f aca="false">G25*IF(G24=0,Assumptions!$B$56,IF(G24=1,Assumptions!$B$57,1))</f>
        <v>1</v>
      </c>
    </row>
    <row r="27" customFormat="false" ht="15" hidden="false" customHeight="false" outlineLevel="0" collapsed="false">
      <c r="A27" s="9" t="s">
        <v>184</v>
      </c>
      <c r="B27" s="23" t="n">
        <f aca="false">IF(B24=0,Debt!$J$5,0)</f>
        <v>0</v>
      </c>
      <c r="C27" s="23" t="n">
        <f aca="false">IF(C24=0,Debt!$J$5,0)</f>
        <v>84175000</v>
      </c>
      <c r="D27" s="23" t="n">
        <f aca="false">IF(D24=0,Debt!$J$5,0)</f>
        <v>0</v>
      </c>
      <c r="E27" s="23" t="n">
        <f aca="false">IF(E24=0,Debt!$J$5,0)</f>
        <v>0</v>
      </c>
      <c r="F27" s="23" t="n">
        <f aca="false">IF(F24=0,Debt!$J$5,0)</f>
        <v>0</v>
      </c>
      <c r="G27" s="23" t="n">
        <f aca="false">IF(G24=0,Debt!$J$5,0)</f>
        <v>0</v>
      </c>
    </row>
    <row r="28" customFormat="false" ht="15" hidden="false" customHeight="false" outlineLevel="0" collapsed="false">
      <c r="A28" s="9" t="s">
        <v>185</v>
      </c>
      <c r="B28" s="21" t="n">
        <f aca="false">IF(B24&gt;=0,SUM(Assumptions!$D$70:$F$70),0)</f>
        <v>0</v>
      </c>
      <c r="C28" s="21" t="n">
        <f aca="false">IF(C24&gt;=0,SUM(Assumptions!$D$70:$F$70),0)</f>
        <v>100</v>
      </c>
      <c r="D28" s="21" t="n">
        <f aca="false">IF(D24&gt;=0,SUM(Assumptions!$D$70:$F$70),0)</f>
        <v>100</v>
      </c>
      <c r="E28" s="21" t="n">
        <f aca="false">IF(E24&gt;=0,SUM(Assumptions!$D$70:$F$70),0)</f>
        <v>100</v>
      </c>
      <c r="F28" s="21" t="n">
        <f aca="false">IF(F24&gt;=0,SUM(Assumptions!$D$70:$F$70),0)</f>
        <v>100</v>
      </c>
      <c r="G28" s="21" t="n">
        <f aca="false">IF(G24&gt;=0,SUM(Assumptions!$D$70:$F$70),0)</f>
        <v>100</v>
      </c>
    </row>
    <row r="29" customFormat="false" ht="15" hidden="false" customHeight="false" outlineLevel="0" collapsed="false">
      <c r="A29" s="9" t="s">
        <v>186</v>
      </c>
      <c r="B29" s="21" t="n">
        <f aca="false">IF(B24&gt;=0,Assumptions!$G$70,0)</f>
        <v>0</v>
      </c>
      <c r="C29" s="21" t="n">
        <f aca="false">IF(C24&gt;=0,Assumptions!$G$70,0)</f>
        <v>50</v>
      </c>
      <c r="D29" s="21" t="n">
        <f aca="false">IF(D24&gt;=0,Assumptions!$G$70,0)</f>
        <v>50</v>
      </c>
      <c r="E29" s="21" t="n">
        <f aca="false">IF(E24&gt;=0,Assumptions!$G$70,0)</f>
        <v>50</v>
      </c>
      <c r="F29" s="21" t="n">
        <f aca="false">IF(F24&gt;=0,Assumptions!$G$70,0)</f>
        <v>50</v>
      </c>
      <c r="G29" s="21" t="n">
        <f aca="false">IF(G24&gt;=0,Assumptions!$G$70,0)</f>
        <v>50</v>
      </c>
    </row>
    <row r="30" customFormat="false" ht="15" hidden="false" customHeight="false" outlineLevel="0" collapsed="false">
      <c r="A30" s="9" t="s">
        <v>187</v>
      </c>
      <c r="B30" s="21" t="n">
        <f aca="false">(Assumptions!$D$70*MIN(Assumptions!$C$63*$B$2,Assumptions!$B$28)+Assumptions!$E$70*MIN(Assumptions!$C$64*$B$2,Assumptions!$B$28)+Assumptions!$F$70*MIN(Assumptions!$C$65*$B$2,Assumptions!$B$28))*Assumptions!$B$27*B26</f>
        <v>0</v>
      </c>
      <c r="C30" s="21" t="n">
        <f aca="false">(Assumptions!$D$70*MIN(Assumptions!$C$63*$B$2,Assumptions!$B$28)+Assumptions!$E$70*MIN(Assumptions!$C$64*$B$2,Assumptions!$B$28)+Assumptions!$F$70*MIN(Assumptions!$C$65*$B$2,Assumptions!$B$28))*Assumptions!$B$27*C26</f>
        <v>49005</v>
      </c>
      <c r="D30" s="21" t="n">
        <f aca="false">(Assumptions!$D$70*MIN(Assumptions!$C$63*$B$2,Assumptions!$B$28)+Assumptions!$E$70*MIN(Assumptions!$C$64*$B$2,Assumptions!$B$28)+Assumptions!$F$70*MIN(Assumptions!$C$65*$B$2,Assumptions!$B$28))*Assumptions!$B$27*D26</f>
        <v>142560</v>
      </c>
      <c r="E30" s="21" t="n">
        <f aca="false">(Assumptions!$D$70*MIN(Assumptions!$C$63*$B$2,Assumptions!$B$28)+Assumptions!$E$70*MIN(Assumptions!$C$64*$B$2,Assumptions!$B$28)+Assumptions!$F$70*MIN(Assumptions!$C$65*$B$2,Assumptions!$B$28))*Assumptions!$B$27*E26</f>
        <v>178200</v>
      </c>
      <c r="F30" s="21" t="n">
        <f aca="false">(Assumptions!$D$70*MIN(Assumptions!$C$63*$B$2,Assumptions!$B$28)+Assumptions!$E$70*MIN(Assumptions!$C$64*$B$2,Assumptions!$B$28)+Assumptions!$F$70*MIN(Assumptions!$C$65*$B$2,Assumptions!$B$28))*Assumptions!$B$27*F26</f>
        <v>178200</v>
      </c>
      <c r="G30" s="21" t="n">
        <f aca="false">(Assumptions!$D$70*MIN(Assumptions!$C$63*$B$2,Assumptions!$B$28)+Assumptions!$E$70*MIN(Assumptions!$C$64*$B$2,Assumptions!$B$28)+Assumptions!$F$70*MIN(Assumptions!$C$65*$B$2,Assumptions!$B$28))*Assumptions!$B$27*G26</f>
        <v>178200</v>
      </c>
    </row>
    <row r="31" customFormat="false" ht="15" hidden="false" customHeight="false" outlineLevel="0" collapsed="false">
      <c r="A31" s="9" t="s">
        <v>142</v>
      </c>
      <c r="B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(Assumptions!$D$70*MIN(Assumptions!$C$63*$B$2,Assumptions!$B$28)*Assumptions!$D$63+Assumptions!$E$70*MIN(Assumptions!$C$64*$B$2,Assumptions!$B$28)*Assumptions!$D$64+Assumptions!$F$70*MIN(Assumptions!$C$65*$B$2,Assumptions!$B$28)*Assumptions!$D$65)*Assumptions!$B$27*B26</f>
        <v>0</v>
      </c>
      <c r="C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(Assumptions!$D$70*MIN(Assumptions!$C$63*$B$2,Assumptions!$B$28)*Assumptions!$D$63+Assumptions!$E$70*MIN(Assumptions!$C$64*$B$2,Assumptions!$B$28)*Assumptions!$D$64+Assumptions!$F$70*MIN(Assumptions!$C$65*$B$2,Assumptions!$B$28)*Assumptions!$D$65)*Assumptions!$B$27*C26</f>
        <v>17641800</v>
      </c>
      <c r="D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(Assumptions!$D$70*MIN(Assumptions!$C$63*$B$2,Assumptions!$B$28)*Assumptions!$D$63+Assumptions!$E$70*MIN(Assumptions!$C$64*$B$2,Assumptions!$B$28)*Assumptions!$D$64+Assumptions!$F$70*MIN(Assumptions!$C$65*$B$2,Assumptions!$B$28)*Assumptions!$D$65)*Assumptions!$B$27*D26</f>
        <v>51321600</v>
      </c>
      <c r="E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(Assumptions!$D$70*MIN(Assumptions!$C$63*$B$2,Assumptions!$B$28)*Assumptions!$D$63+Assumptions!$E$70*MIN(Assumptions!$C$64*$B$2,Assumptions!$B$28)*Assumptions!$D$64+Assumptions!$F$70*MIN(Assumptions!$C$65*$B$2,Assumptions!$B$28)*Assumptions!$D$65)*Assumptions!$B$27*E26</f>
        <v>64152000</v>
      </c>
      <c r="F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(Assumptions!$D$70*MIN(Assumptions!$C$63*$B$2,Assumptions!$B$28)*Assumptions!$D$63+Assumptions!$E$70*MIN(Assumptions!$C$64*$B$2,Assumptions!$B$28)*Assumptions!$D$64+Assumptions!$F$70*MIN(Assumptions!$C$65*$B$2,Assumptions!$B$28)*Assumptions!$D$65)*Assumptions!$B$27*F26</f>
        <v>64152000</v>
      </c>
      <c r="G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(Assumptions!$D$70*MIN(Assumptions!$C$63*$B$2,Assumptions!$B$28)*Assumptions!$D$63+Assumptions!$E$70*MIN(Assumptions!$C$64*$B$2,Assumptions!$B$28)*Assumptions!$D$64+Assumptions!$F$70*MIN(Assumptions!$C$65*$B$2,Assumptions!$B$28)*Assumptions!$D$65)*Assumptions!$B$27*G26</f>
        <v>64152000</v>
      </c>
    </row>
    <row r="32" customFormat="false" ht="15" hidden="false" customHeight="false" outlineLevel="0" collapsed="false">
      <c r="A32" s="9" t="s">
        <v>188</v>
      </c>
      <c r="B32" s="23" t="n">
        <f aca="false">Assumptions!$G$70*Assumptions!$B$33*Assumptions!$B$35*$B$2*IF(B24=0,Assumptions!$B$36,IF(B24=1,Assumptions!$B$37,1))*Assumptions!$B$34*12*B25</f>
        <v>0</v>
      </c>
      <c r="C32" s="23" t="n">
        <f aca="false">Assumptions!$G$70*Assumptions!$B$33*Assumptions!$B$35*$B$2*IF(C24=0,Assumptions!$B$36,IF(C24=1,Assumptions!$B$37,1))*Assumptions!$B$34*12*C25</f>
        <v>2465430.88235294</v>
      </c>
      <c r="D32" s="23" t="n">
        <f aca="false">Assumptions!$G$70*Assumptions!$B$33*Assumptions!$B$35*$B$2*IF(D24=0,Assumptions!$B$36,IF(D24=1,Assumptions!$B$37,1))*Assumptions!$B$34*12*D25</f>
        <v>9245365.80882353</v>
      </c>
      <c r="E32" s="23" t="n">
        <f aca="false">Assumptions!$G$70*Assumptions!$B$33*Assumptions!$B$35*$B$2*IF(E24=0,Assumptions!$B$36,IF(E24=1,Assumptions!$B$37,1))*Assumptions!$B$34*12*E25</f>
        <v>12327154.4117647</v>
      </c>
      <c r="F32" s="23" t="n">
        <f aca="false">Assumptions!$G$70*Assumptions!$B$33*Assumptions!$B$35*$B$2*IF(F24=0,Assumptions!$B$36,IF(F24=1,Assumptions!$B$37,1))*Assumptions!$B$34*12*F25</f>
        <v>12327154.4117647</v>
      </c>
      <c r="G32" s="23" t="n">
        <f aca="false">Assumptions!$G$70*Assumptions!$B$33*Assumptions!$B$35*$B$2*IF(G24=0,Assumptions!$B$36,IF(G24=1,Assumptions!$B$37,1))*Assumptions!$B$34*12*G25</f>
        <v>12327154.4117647</v>
      </c>
    </row>
    <row r="33" customFormat="false" ht="15" hidden="false" customHeight="false" outlineLevel="0" collapsed="false">
      <c r="A33" s="9" t="s">
        <v>144</v>
      </c>
      <c r="B33" s="23" t="n">
        <f aca="false">B28*Assumptions!$B$40*B26</f>
        <v>0</v>
      </c>
      <c r="C33" s="23" t="n">
        <f aca="false">C28*Assumptions!$B$40*C26</f>
        <v>1100000</v>
      </c>
      <c r="D33" s="23" t="n">
        <f aca="false">D28*Assumptions!$B$40*D26</f>
        <v>3200000</v>
      </c>
      <c r="E33" s="23" t="n">
        <f aca="false">E28*Assumptions!$B$40*E26</f>
        <v>4000000</v>
      </c>
      <c r="F33" s="23" t="n">
        <f aca="false">F28*Assumptions!$B$40*F26</f>
        <v>4000000</v>
      </c>
      <c r="G33" s="23" t="n">
        <f aca="false">G28*Assumptions!$B$40*G26</f>
        <v>4000000</v>
      </c>
    </row>
    <row r="34" customFormat="false" ht="15" hidden="false" customHeight="false" outlineLevel="0" collapsed="false">
      <c r="A34" s="9" t="s">
        <v>189</v>
      </c>
      <c r="B34" s="23" t="n">
        <f aca="false">B30*Assumptions!$B$45</f>
        <v>0</v>
      </c>
      <c r="C34" s="23" t="n">
        <f aca="false">C30*Assumptions!$B$45</f>
        <v>1163868.75</v>
      </c>
      <c r="D34" s="23" t="n">
        <f aca="false">D30*Assumptions!$B$45</f>
        <v>3385800</v>
      </c>
      <c r="E34" s="23" t="n">
        <f aca="false">E30*Assumptions!$B$45</f>
        <v>4232250</v>
      </c>
      <c r="F34" s="23" t="n">
        <f aca="false">F30*Assumptions!$B$45</f>
        <v>4232250</v>
      </c>
      <c r="G34" s="23" t="n">
        <f aca="false">G30*Assumptions!$B$45</f>
        <v>4232250</v>
      </c>
    </row>
    <row r="35" customFormat="false" ht="15" hidden="false" customHeight="false" outlineLevel="0" collapsed="false">
      <c r="A35" s="9" t="s">
        <v>146</v>
      </c>
      <c r="B35" s="23" t="n">
        <f aca="false">B28*Assumptions!$B$41*B25</f>
        <v>0</v>
      </c>
      <c r="C35" s="23" t="n">
        <f aca="false">C28*Assumptions!$B$41*C25</f>
        <v>1250000</v>
      </c>
      <c r="D35" s="23" t="n">
        <f aca="false">D28*Assumptions!$B$41*D25</f>
        <v>2500000</v>
      </c>
      <c r="E35" s="23" t="n">
        <f aca="false">E28*Assumptions!$B$41*E25</f>
        <v>2500000</v>
      </c>
      <c r="F35" s="23" t="n">
        <f aca="false">F28*Assumptions!$B$41*F25</f>
        <v>2500000</v>
      </c>
      <c r="G35" s="23" t="n">
        <f aca="false">G28*Assumptions!$B$41*G25</f>
        <v>2500000</v>
      </c>
    </row>
    <row r="36" customFormat="false" ht="15" hidden="false" customHeight="false" outlineLevel="0" collapsed="false">
      <c r="A36" s="9" t="s">
        <v>150</v>
      </c>
      <c r="B36" s="23" t="n">
        <f aca="false">(Assumptions!$D$70*Assumptions!$B$63*Assumptions!$B$12+Assumptions!$E$70*Assumptions!$B$64*Assumptions!$B$12+Assumptions!$F$70*Assumptions!$B$65*Assumptions!$B$12)*Assumptions!$B$51*B25</f>
        <v>0</v>
      </c>
      <c r="C36" s="23" t="n">
        <f aca="false">(Assumptions!$D$70*Assumptions!$B$63*Assumptions!$B$12+Assumptions!$E$70*Assumptions!$B$64*Assumptions!$B$12+Assumptions!$F$70*Assumptions!$B$65*Assumptions!$B$12)*Assumptions!$B$51*C25</f>
        <v>1295000</v>
      </c>
      <c r="D36" s="23" t="n">
        <f aca="false">(Assumptions!$D$70*Assumptions!$B$63*Assumptions!$B$12+Assumptions!$E$70*Assumptions!$B$64*Assumptions!$B$12+Assumptions!$F$70*Assumptions!$B$65*Assumptions!$B$12)*Assumptions!$B$51*D25</f>
        <v>2590000</v>
      </c>
      <c r="E36" s="23" t="n">
        <f aca="false">(Assumptions!$D$70*Assumptions!$B$63*Assumptions!$B$12+Assumptions!$E$70*Assumptions!$B$64*Assumptions!$B$12+Assumptions!$F$70*Assumptions!$B$65*Assumptions!$B$12)*Assumptions!$B$51*E25</f>
        <v>2590000</v>
      </c>
      <c r="F36" s="23" t="n">
        <f aca="false">(Assumptions!$D$70*Assumptions!$B$63*Assumptions!$B$12+Assumptions!$E$70*Assumptions!$B$64*Assumptions!$B$12+Assumptions!$F$70*Assumptions!$B$65*Assumptions!$B$12)*Assumptions!$B$51*F25</f>
        <v>2590000</v>
      </c>
      <c r="G36" s="23" t="n">
        <f aca="false">(Assumptions!$D$70*Assumptions!$B$63*Assumptions!$B$12+Assumptions!$E$70*Assumptions!$B$64*Assumptions!$B$12+Assumptions!$F$70*Assumptions!$B$65*Assumptions!$B$12)*Assumptions!$B$51*G25</f>
        <v>2590000</v>
      </c>
    </row>
    <row r="37" customFormat="false" ht="15" hidden="false" customHeight="false" outlineLevel="0" collapsed="false">
      <c r="A37" s="9" t="s">
        <v>151</v>
      </c>
      <c r="B37" s="23" t="n">
        <f aca="false">B28*Assumptions!$B$52*B25</f>
        <v>0</v>
      </c>
      <c r="C37" s="23" t="n">
        <f aca="false">C28*Assumptions!$B$52*C25</f>
        <v>1200000</v>
      </c>
      <c r="D37" s="23" t="n">
        <f aca="false">D28*Assumptions!$B$52*D25</f>
        <v>2400000</v>
      </c>
      <c r="E37" s="23" t="n">
        <f aca="false">E28*Assumptions!$B$52*E25</f>
        <v>2400000</v>
      </c>
      <c r="F37" s="23" t="n">
        <f aca="false">F28*Assumptions!$B$52*F25</f>
        <v>2400000</v>
      </c>
      <c r="G37" s="23" t="n">
        <f aca="false">G28*Assumptions!$B$52*G25</f>
        <v>2400000</v>
      </c>
    </row>
    <row r="38" customFormat="false" ht="15" hidden="false" customHeight="false" outlineLevel="0" collapsed="false">
      <c r="A38" s="9" t="s">
        <v>152</v>
      </c>
      <c r="B38" s="23" t="n">
        <f aca="false">Debt!$J$5*Assumptions!$B$50*B25</f>
        <v>0</v>
      </c>
      <c r="C38" s="23" t="n">
        <f aca="false">Debt!$J$5*Assumptions!$B$50*C25</f>
        <v>420875</v>
      </c>
      <c r="D38" s="23" t="n">
        <f aca="false">Debt!$J$5*Assumptions!$B$50*D25</f>
        <v>841750</v>
      </c>
      <c r="E38" s="23" t="n">
        <f aca="false">Debt!$J$5*Assumptions!$B$50*E25</f>
        <v>841750</v>
      </c>
      <c r="F38" s="23" t="n">
        <f aca="false">Debt!$J$5*Assumptions!$B$50*F25</f>
        <v>841750</v>
      </c>
      <c r="G38" s="23" t="n">
        <f aca="false">Debt!$J$5*Assumptions!$B$50*G25</f>
        <v>841750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4" t="s">
        <v>124</v>
      </c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9" t="s">
        <v>181</v>
      </c>
      <c r="B41" s="21" t="n">
        <f aca="false">2027-Assumptions!$B$71</f>
        <v>-2</v>
      </c>
      <c r="C41" s="21" t="n">
        <f aca="false">2028-Assumptions!$B$71</f>
        <v>-1</v>
      </c>
      <c r="D41" s="21" t="n">
        <f aca="false">2029-Assumptions!$B$71</f>
        <v>0</v>
      </c>
      <c r="E41" s="21" t="n">
        <f aca="false">2030-Assumptions!$B$71</f>
        <v>1</v>
      </c>
      <c r="F41" s="21" t="n">
        <f aca="false">2031-Assumptions!$B$71</f>
        <v>2</v>
      </c>
      <c r="G41" s="21" t="n">
        <f aca="false">2032-Assumptions!$B$71</f>
        <v>3</v>
      </c>
    </row>
    <row r="42" customFormat="false" ht="15" hidden="false" customHeight="false" outlineLevel="0" collapsed="false">
      <c r="A42" s="9" t="s">
        <v>182</v>
      </c>
      <c r="B42" s="18" t="n">
        <f aca="false">IF(B41&lt;0,0,IF(B41=0,Assumptions!$C$71,1))</f>
        <v>0</v>
      </c>
      <c r="C42" s="18" t="n">
        <f aca="false">IF(C41&lt;0,0,IF(C41=0,Assumptions!$C$71,1))</f>
        <v>0</v>
      </c>
      <c r="D42" s="18" t="n">
        <f aca="false">IF(D41&lt;0,0,IF(D41=0,Assumptions!$C$71,1))</f>
        <v>0.6</v>
      </c>
      <c r="E42" s="18" t="n">
        <f aca="false">IF(E41&lt;0,0,IF(E41=0,Assumptions!$C$71,1))</f>
        <v>1</v>
      </c>
      <c r="F42" s="18" t="n">
        <f aca="false">IF(F41&lt;0,0,IF(F41=0,Assumptions!$C$71,1))</f>
        <v>1</v>
      </c>
      <c r="G42" s="18" t="n">
        <f aca="false">IF(G41&lt;0,0,IF(G41=0,Assumptions!$C$71,1))</f>
        <v>1</v>
      </c>
    </row>
    <row r="43" customFormat="false" ht="15" hidden="false" customHeight="false" outlineLevel="0" collapsed="false">
      <c r="A43" s="9" t="s">
        <v>183</v>
      </c>
      <c r="B43" s="18" t="n">
        <f aca="false">B42*IF(B41=0,Assumptions!$B$56,IF(B41=1,Assumptions!$B$57,1))</f>
        <v>0</v>
      </c>
      <c r="C43" s="18" t="n">
        <f aca="false">C42*IF(C41=0,Assumptions!$B$56,IF(C41=1,Assumptions!$B$57,1))</f>
        <v>0</v>
      </c>
      <c r="D43" s="18" t="n">
        <f aca="false">D42*IF(D41=0,Assumptions!$B$56,IF(D41=1,Assumptions!$B$57,1))</f>
        <v>0.33</v>
      </c>
      <c r="E43" s="18" t="n">
        <f aca="false">E42*IF(E41=0,Assumptions!$B$56,IF(E41=1,Assumptions!$B$57,1))</f>
        <v>0.8</v>
      </c>
      <c r="F43" s="18" t="n">
        <f aca="false">F42*IF(F41=0,Assumptions!$B$56,IF(F41=1,Assumptions!$B$57,1))</f>
        <v>1</v>
      </c>
      <c r="G43" s="18" t="n">
        <f aca="false">G42*IF(G41=0,Assumptions!$B$56,IF(G41=1,Assumptions!$B$57,1))</f>
        <v>1</v>
      </c>
    </row>
    <row r="44" customFormat="false" ht="15" hidden="false" customHeight="false" outlineLevel="0" collapsed="false">
      <c r="A44" s="9" t="s">
        <v>184</v>
      </c>
      <c r="B44" s="23" t="n">
        <f aca="false">IF(B41=0,Debt!$P$5,0)</f>
        <v>0</v>
      </c>
      <c r="C44" s="23" t="n">
        <f aca="false">IF(C41=0,Debt!$P$5,0)</f>
        <v>0</v>
      </c>
      <c r="D44" s="23" t="n">
        <f aca="false">IF(D41=0,Debt!$P$5,0)</f>
        <v>37999000</v>
      </c>
      <c r="E44" s="23" t="n">
        <f aca="false">IF(E41=0,Debt!$P$5,0)</f>
        <v>0</v>
      </c>
      <c r="F44" s="23" t="n">
        <f aca="false">IF(F41=0,Debt!$P$5,0)</f>
        <v>0</v>
      </c>
      <c r="G44" s="23" t="n">
        <f aca="false">IF(G41=0,Debt!$P$5,0)</f>
        <v>0</v>
      </c>
    </row>
    <row r="45" customFormat="false" ht="15" hidden="false" customHeight="false" outlineLevel="0" collapsed="false">
      <c r="A45" s="9" t="s">
        <v>185</v>
      </c>
      <c r="B45" s="21" t="n">
        <f aca="false">IF(B41&gt;=0,SUM(Assumptions!$D$71:$F$71),0)</f>
        <v>0</v>
      </c>
      <c r="C45" s="21" t="n">
        <f aca="false">IF(C41&gt;=0,SUM(Assumptions!$D$71:$F$71),0)</f>
        <v>0</v>
      </c>
      <c r="D45" s="21" t="n">
        <f aca="false">IF(D41&gt;=0,SUM(Assumptions!$D$71:$F$71),0)</f>
        <v>60</v>
      </c>
      <c r="E45" s="21" t="n">
        <f aca="false">IF(E41&gt;=0,SUM(Assumptions!$D$71:$F$71),0)</f>
        <v>60</v>
      </c>
      <c r="F45" s="21" t="n">
        <f aca="false">IF(F41&gt;=0,SUM(Assumptions!$D$71:$F$71),0)</f>
        <v>60</v>
      </c>
      <c r="G45" s="21" t="n">
        <f aca="false">IF(G41&gt;=0,SUM(Assumptions!$D$71:$F$71),0)</f>
        <v>60</v>
      </c>
    </row>
    <row r="46" customFormat="false" ht="15" hidden="false" customHeight="false" outlineLevel="0" collapsed="false">
      <c r="A46" s="9" t="s">
        <v>186</v>
      </c>
      <c r="B46" s="21" t="n">
        <f aca="false">IF(B41&gt;=0,Assumptions!$G$71,0)</f>
        <v>0</v>
      </c>
      <c r="C46" s="21" t="n">
        <f aca="false">IF(C41&gt;=0,Assumptions!$G$71,0)</f>
        <v>0</v>
      </c>
      <c r="D46" s="21" t="n">
        <f aca="false">IF(D41&gt;=0,Assumptions!$G$71,0)</f>
        <v>60</v>
      </c>
      <c r="E46" s="21" t="n">
        <f aca="false">IF(E41&gt;=0,Assumptions!$G$71,0)</f>
        <v>60</v>
      </c>
      <c r="F46" s="21" t="n">
        <f aca="false">IF(F41&gt;=0,Assumptions!$G$71,0)</f>
        <v>60</v>
      </c>
      <c r="G46" s="21" t="n">
        <f aca="false">IF(G41&gt;=0,Assumptions!$G$71,0)</f>
        <v>60</v>
      </c>
    </row>
    <row r="47" customFormat="false" ht="15" hidden="false" customHeight="false" outlineLevel="0" collapsed="false">
      <c r="A47" s="9" t="s">
        <v>187</v>
      </c>
      <c r="B47" s="21" t="n">
        <f aca="false">(Assumptions!$D$71*MIN(Assumptions!$C$63*$B$2,Assumptions!$B$28)+Assumptions!$E$71*MIN(Assumptions!$C$64*$B$2,Assumptions!$B$28)+Assumptions!$F$71*MIN(Assumptions!$C$65*$B$2,Assumptions!$B$28))*Assumptions!$B$27*B43</f>
        <v>0</v>
      </c>
      <c r="C47" s="21" t="n">
        <f aca="false">(Assumptions!$D$71*MIN(Assumptions!$C$63*$B$2,Assumptions!$B$28)+Assumptions!$E$71*MIN(Assumptions!$C$64*$B$2,Assumptions!$B$28)+Assumptions!$F$71*MIN(Assumptions!$C$65*$B$2,Assumptions!$B$28))*Assumptions!$B$27*C43</f>
        <v>0</v>
      </c>
      <c r="D47" s="21" t="n">
        <f aca="false">(Assumptions!$D$71*MIN(Assumptions!$C$63*$B$2,Assumptions!$B$28)+Assumptions!$E$71*MIN(Assumptions!$C$64*$B$2,Assumptions!$B$28)+Assumptions!$F$71*MIN(Assumptions!$C$65*$B$2,Assumptions!$B$28))*Assumptions!$B$27*D43</f>
        <v>33145.2</v>
      </c>
      <c r="E47" s="21" t="n">
        <f aca="false">(Assumptions!$D$71*MIN(Assumptions!$C$63*$B$2,Assumptions!$B$28)+Assumptions!$E$71*MIN(Assumptions!$C$64*$B$2,Assumptions!$B$28)+Assumptions!$F$71*MIN(Assumptions!$C$65*$B$2,Assumptions!$B$28))*Assumptions!$B$27*E43</f>
        <v>80352</v>
      </c>
      <c r="F47" s="21" t="n">
        <f aca="false">(Assumptions!$D$71*MIN(Assumptions!$C$63*$B$2,Assumptions!$B$28)+Assumptions!$E$71*MIN(Assumptions!$C$64*$B$2,Assumptions!$B$28)+Assumptions!$F$71*MIN(Assumptions!$C$65*$B$2,Assumptions!$B$28))*Assumptions!$B$27*F43</f>
        <v>100440</v>
      </c>
      <c r="G47" s="21" t="n">
        <f aca="false">(Assumptions!$D$71*MIN(Assumptions!$C$63*$B$2,Assumptions!$B$28)+Assumptions!$E$71*MIN(Assumptions!$C$64*$B$2,Assumptions!$B$28)+Assumptions!$F$71*MIN(Assumptions!$C$65*$B$2,Assumptions!$B$28))*Assumptions!$B$27*G43</f>
        <v>100440</v>
      </c>
    </row>
    <row r="48" customFormat="false" ht="15" hidden="false" customHeight="false" outlineLevel="0" collapsed="false">
      <c r="A48" s="9" t="s">
        <v>142</v>
      </c>
      <c r="B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(Assumptions!$D$71*MIN(Assumptions!$C$63*$B$2,Assumptions!$B$28)*Assumptions!$D$63+Assumptions!$E$71*MIN(Assumptions!$C$64*$B$2,Assumptions!$B$28)*Assumptions!$D$64+Assumptions!$F$71*MIN(Assumptions!$C$65*$B$2,Assumptions!$B$28)*Assumptions!$D$65)*Assumptions!$B$27*B43</f>
        <v>0</v>
      </c>
      <c r="C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(Assumptions!$D$71*MIN(Assumptions!$C$63*$B$2,Assumptions!$B$28)*Assumptions!$D$63+Assumptions!$E$71*MIN(Assumptions!$C$64*$B$2,Assumptions!$B$28)*Assumptions!$D$64+Assumptions!$F$71*MIN(Assumptions!$C$65*$B$2,Assumptions!$B$28)*Assumptions!$D$65)*Assumptions!$B$27*C43</f>
        <v>0</v>
      </c>
      <c r="D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(Assumptions!$D$71*MIN(Assumptions!$C$63*$B$2,Assumptions!$B$28)*Assumptions!$D$63+Assumptions!$E$71*MIN(Assumptions!$C$64*$B$2,Assumptions!$B$28)*Assumptions!$D$64+Assumptions!$F$71*MIN(Assumptions!$C$65*$B$2,Assumptions!$B$28)*Assumptions!$D$65)*Assumptions!$B$27*D43</f>
        <v>9366192</v>
      </c>
      <c r="E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(Assumptions!$D$71*MIN(Assumptions!$C$63*$B$2,Assumptions!$B$28)*Assumptions!$D$63+Assumptions!$E$71*MIN(Assumptions!$C$64*$B$2,Assumptions!$B$28)*Assumptions!$D$64+Assumptions!$F$71*MIN(Assumptions!$C$65*$B$2,Assumptions!$B$28)*Assumptions!$D$65)*Assumptions!$B$27*E43</f>
        <v>22705920</v>
      </c>
      <c r="F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(Assumptions!$D$71*MIN(Assumptions!$C$63*$B$2,Assumptions!$B$28)*Assumptions!$D$63+Assumptions!$E$71*MIN(Assumptions!$C$64*$B$2,Assumptions!$B$28)*Assumptions!$D$64+Assumptions!$F$71*MIN(Assumptions!$C$65*$B$2,Assumptions!$B$28)*Assumptions!$D$65)*Assumptions!$B$27*F43</f>
        <v>28382400</v>
      </c>
      <c r="G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(Assumptions!$D$71*MIN(Assumptions!$C$63*$B$2,Assumptions!$B$28)*Assumptions!$D$63+Assumptions!$E$71*MIN(Assumptions!$C$64*$B$2,Assumptions!$B$28)*Assumptions!$D$64+Assumptions!$F$71*MIN(Assumptions!$C$65*$B$2,Assumptions!$B$28)*Assumptions!$D$65)*Assumptions!$B$27*G43</f>
        <v>28382400</v>
      </c>
    </row>
    <row r="49" customFormat="false" ht="15" hidden="false" customHeight="false" outlineLevel="0" collapsed="false">
      <c r="A49" s="9" t="s">
        <v>188</v>
      </c>
      <c r="B49" s="23" t="n">
        <f aca="false">Assumptions!$G$71*Assumptions!$B$33*Assumptions!$B$35*$B$2*IF(B41=0,Assumptions!$B$36,IF(B41=1,Assumptions!$B$37,1))*Assumptions!$B$34*12*B42</f>
        <v>0</v>
      </c>
      <c r="C49" s="23" t="n">
        <f aca="false">Assumptions!$G$71*Assumptions!$B$33*Assumptions!$B$35*$B$2*IF(C41=0,Assumptions!$B$36,IF(C41=1,Assumptions!$B$37,1))*Assumptions!$B$34*12*C42</f>
        <v>0</v>
      </c>
      <c r="D49" s="23" t="n">
        <f aca="false">Assumptions!$G$71*Assumptions!$B$33*Assumptions!$B$35*$B$2*IF(D41=0,Assumptions!$B$36,IF(D41=1,Assumptions!$B$37,1))*Assumptions!$B$34*12*D42</f>
        <v>3550220.47058823</v>
      </c>
      <c r="E49" s="23" t="n">
        <f aca="false">Assumptions!$G$71*Assumptions!$B$33*Assumptions!$B$35*$B$2*IF(E41=0,Assumptions!$B$36,IF(E41=1,Assumptions!$B$37,1))*Assumptions!$B$34*12*E42</f>
        <v>11094438.9705882</v>
      </c>
      <c r="F49" s="23" t="n">
        <f aca="false">Assumptions!$G$71*Assumptions!$B$33*Assumptions!$B$35*$B$2*IF(F41=0,Assumptions!$B$36,IF(F41=1,Assumptions!$B$37,1))*Assumptions!$B$34*12*F42</f>
        <v>14792585.2941176</v>
      </c>
      <c r="G49" s="23" t="n">
        <f aca="false">Assumptions!$G$71*Assumptions!$B$33*Assumptions!$B$35*$B$2*IF(G41=0,Assumptions!$B$36,IF(G41=1,Assumptions!$B$37,1))*Assumptions!$B$34*12*G42</f>
        <v>14792585.2941176</v>
      </c>
    </row>
    <row r="50" customFormat="false" ht="15" hidden="false" customHeight="false" outlineLevel="0" collapsed="false">
      <c r="A50" s="9" t="s">
        <v>144</v>
      </c>
      <c r="B50" s="23" t="n">
        <f aca="false">B45*Assumptions!$B$40*B43</f>
        <v>0</v>
      </c>
      <c r="C50" s="23" t="n">
        <f aca="false">C45*Assumptions!$B$40*C43</f>
        <v>0</v>
      </c>
      <c r="D50" s="23" t="n">
        <f aca="false">D45*Assumptions!$B$40*D43</f>
        <v>792000</v>
      </c>
      <c r="E50" s="23" t="n">
        <f aca="false">E45*Assumptions!$B$40*E43</f>
        <v>1920000</v>
      </c>
      <c r="F50" s="23" t="n">
        <f aca="false">F45*Assumptions!$B$40*F43</f>
        <v>2400000</v>
      </c>
      <c r="G50" s="23" t="n">
        <f aca="false">G45*Assumptions!$B$40*G43</f>
        <v>2400000</v>
      </c>
    </row>
    <row r="51" customFormat="false" ht="15" hidden="false" customHeight="false" outlineLevel="0" collapsed="false">
      <c r="A51" s="9" t="s">
        <v>189</v>
      </c>
      <c r="B51" s="23" t="n">
        <f aca="false">B47*Assumptions!$B$45</f>
        <v>0</v>
      </c>
      <c r="C51" s="23" t="n">
        <f aca="false">C47*Assumptions!$B$45</f>
        <v>0</v>
      </c>
      <c r="D51" s="23" t="n">
        <f aca="false">D47*Assumptions!$B$45</f>
        <v>787198.5</v>
      </c>
      <c r="E51" s="23" t="n">
        <f aca="false">E47*Assumptions!$B$45</f>
        <v>1908360</v>
      </c>
      <c r="F51" s="23" t="n">
        <f aca="false">F47*Assumptions!$B$45</f>
        <v>2385450</v>
      </c>
      <c r="G51" s="23" t="n">
        <f aca="false">G47*Assumptions!$B$45</f>
        <v>2385450</v>
      </c>
    </row>
    <row r="52" customFormat="false" ht="15" hidden="false" customHeight="false" outlineLevel="0" collapsed="false">
      <c r="A52" s="9" t="s">
        <v>146</v>
      </c>
      <c r="B52" s="23" t="n">
        <f aca="false">B45*Assumptions!$B$41*B42</f>
        <v>0</v>
      </c>
      <c r="C52" s="23" t="n">
        <f aca="false">C45*Assumptions!$B$41*C42</f>
        <v>0</v>
      </c>
      <c r="D52" s="23" t="n">
        <f aca="false">D45*Assumptions!$B$41*D42</f>
        <v>900000</v>
      </c>
      <c r="E52" s="23" t="n">
        <f aca="false">E45*Assumptions!$B$41*E42</f>
        <v>1500000</v>
      </c>
      <c r="F52" s="23" t="n">
        <f aca="false">F45*Assumptions!$B$41*F42</f>
        <v>1500000</v>
      </c>
      <c r="G52" s="23" t="n">
        <f aca="false">G45*Assumptions!$B$41*G42</f>
        <v>1500000</v>
      </c>
    </row>
    <row r="53" customFormat="false" ht="15" hidden="false" customHeight="false" outlineLevel="0" collapsed="false">
      <c r="A53" s="9" t="s">
        <v>150</v>
      </c>
      <c r="B53" s="23" t="n">
        <f aca="false">(Assumptions!$D$71*Assumptions!$B$63*Assumptions!$B$12+Assumptions!$E$71*Assumptions!$B$64*Assumptions!$B$12+Assumptions!$F$71*Assumptions!$B$65*Assumptions!$B$12)*Assumptions!$B$51*B42</f>
        <v>0</v>
      </c>
      <c r="C53" s="23" t="n">
        <f aca="false">(Assumptions!$D$71*Assumptions!$B$63*Assumptions!$B$12+Assumptions!$E$71*Assumptions!$B$64*Assumptions!$B$12+Assumptions!$F$71*Assumptions!$B$65*Assumptions!$B$12)*Assumptions!$B$51*C42</f>
        <v>0</v>
      </c>
      <c r="D53" s="23" t="n">
        <f aca="false">(Assumptions!$D$71*Assumptions!$B$63*Assumptions!$B$12+Assumptions!$E$71*Assumptions!$B$64*Assumptions!$B$12+Assumptions!$F$71*Assumptions!$B$65*Assumptions!$B$12)*Assumptions!$B$51*D42</f>
        <v>701520</v>
      </c>
      <c r="E53" s="23" t="n">
        <f aca="false">(Assumptions!$D$71*Assumptions!$B$63*Assumptions!$B$12+Assumptions!$E$71*Assumptions!$B$64*Assumptions!$B$12+Assumptions!$F$71*Assumptions!$B$65*Assumptions!$B$12)*Assumptions!$B$51*E42</f>
        <v>1169200</v>
      </c>
      <c r="F53" s="23" t="n">
        <f aca="false">(Assumptions!$D$71*Assumptions!$B$63*Assumptions!$B$12+Assumptions!$E$71*Assumptions!$B$64*Assumptions!$B$12+Assumptions!$F$71*Assumptions!$B$65*Assumptions!$B$12)*Assumptions!$B$51*F42</f>
        <v>1169200</v>
      </c>
      <c r="G53" s="23" t="n">
        <f aca="false">(Assumptions!$D$71*Assumptions!$B$63*Assumptions!$B$12+Assumptions!$E$71*Assumptions!$B$64*Assumptions!$B$12+Assumptions!$F$71*Assumptions!$B$65*Assumptions!$B$12)*Assumptions!$B$51*G42</f>
        <v>1169200</v>
      </c>
    </row>
    <row r="54" customFormat="false" ht="15" hidden="false" customHeight="false" outlineLevel="0" collapsed="false">
      <c r="A54" s="9" t="s">
        <v>151</v>
      </c>
      <c r="B54" s="23" t="n">
        <f aca="false">B45*Assumptions!$B$52*B42</f>
        <v>0</v>
      </c>
      <c r="C54" s="23" t="n">
        <f aca="false">C45*Assumptions!$B$52*C42</f>
        <v>0</v>
      </c>
      <c r="D54" s="23" t="n">
        <f aca="false">D45*Assumptions!$B$52*D42</f>
        <v>864000</v>
      </c>
      <c r="E54" s="23" t="n">
        <f aca="false">E45*Assumptions!$B$52*E42</f>
        <v>1440000</v>
      </c>
      <c r="F54" s="23" t="n">
        <f aca="false">F45*Assumptions!$B$52*F42</f>
        <v>1440000</v>
      </c>
      <c r="G54" s="23" t="n">
        <f aca="false">G45*Assumptions!$B$52*G42</f>
        <v>1440000</v>
      </c>
    </row>
    <row r="55" customFormat="false" ht="15" hidden="false" customHeight="false" outlineLevel="0" collapsed="false">
      <c r="A55" s="9" t="s">
        <v>152</v>
      </c>
      <c r="B55" s="23" t="n">
        <f aca="false">Debt!$P$5*Assumptions!$B$50*B42</f>
        <v>0</v>
      </c>
      <c r="C55" s="23" t="n">
        <f aca="false">Debt!$P$5*Assumptions!$B$50*C42</f>
        <v>0</v>
      </c>
      <c r="D55" s="23" t="n">
        <f aca="false">Debt!$P$5*Assumptions!$B$50*D42</f>
        <v>227994</v>
      </c>
      <c r="E55" s="23" t="n">
        <f aca="false">Debt!$P$5*Assumptions!$B$50*E42</f>
        <v>379990</v>
      </c>
      <c r="F55" s="23" t="n">
        <f aca="false">Debt!$P$5*Assumptions!$B$50*F42</f>
        <v>379990</v>
      </c>
      <c r="G55" s="23" t="n">
        <f aca="false">Debt!$P$5*Assumptions!$B$50*G42</f>
        <v>379990</v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" hidden="false" customHeight="false" outlineLevel="0" collapsed="false">
      <c r="A57" s="4" t="s">
        <v>190</v>
      </c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12" t="s">
        <v>191</v>
      </c>
      <c r="B58" s="31" t="n">
        <f aca="false">B11+B28+B45</f>
        <v>40</v>
      </c>
      <c r="C58" s="31" t="n">
        <f aca="false">C11+C28+C45</f>
        <v>140</v>
      </c>
      <c r="D58" s="31" t="n">
        <f aca="false">D11+D28+D45</f>
        <v>200</v>
      </c>
      <c r="E58" s="31" t="n">
        <f aca="false">E11+E28+E45</f>
        <v>200</v>
      </c>
      <c r="F58" s="31" t="n">
        <f aca="false">F11+F28+F45</f>
        <v>200</v>
      </c>
      <c r="G58" s="31" t="n">
        <f aca="false">G11+G28+G45</f>
        <v>200</v>
      </c>
    </row>
    <row r="59" customFormat="false" ht="15" hidden="false" customHeight="false" outlineLevel="0" collapsed="false">
      <c r="A59" s="9" t="s">
        <v>192</v>
      </c>
      <c r="B59" s="21" t="n">
        <f aca="false">B12+B29+B46</f>
        <v>20</v>
      </c>
      <c r="C59" s="21" t="n">
        <f aca="false">C12+C29+C46</f>
        <v>70</v>
      </c>
      <c r="D59" s="21" t="n">
        <f aca="false">D12+D29+D46</f>
        <v>130</v>
      </c>
      <c r="E59" s="21" t="n">
        <f aca="false">E12+E29+E46</f>
        <v>130</v>
      </c>
      <c r="F59" s="21" t="n">
        <f aca="false">F12+F29+F46</f>
        <v>130</v>
      </c>
      <c r="G59" s="21" t="n">
        <f aca="false">G12+G29+G46</f>
        <v>130</v>
      </c>
    </row>
    <row r="60" customFormat="false" ht="15" hidden="false" customHeight="false" outlineLevel="0" collapsed="false">
      <c r="A60" s="9" t="s">
        <v>193</v>
      </c>
      <c r="B60" s="21" t="n">
        <f aca="false">B13+B30+B47</f>
        <v>23760</v>
      </c>
      <c r="C60" s="21" t="n">
        <f aca="false">C13+C30+C47</f>
        <v>118125</v>
      </c>
      <c r="D60" s="21" t="n">
        <f aca="false">D13+D30+D47</f>
        <v>262105.2</v>
      </c>
      <c r="E60" s="21" t="n">
        <f aca="false">E13+E30+E47</f>
        <v>344952</v>
      </c>
      <c r="F60" s="21" t="n">
        <f aca="false">F13+F30+F47</f>
        <v>365040</v>
      </c>
      <c r="G60" s="21" t="n">
        <f aca="false">G13+G30+G47</f>
        <v>365040</v>
      </c>
    </row>
    <row r="61" customFormat="false" ht="15" hidden="false" customHeight="false" outlineLevel="0" collapsed="false">
      <c r="A61" s="9" t="s">
        <v>11</v>
      </c>
      <c r="B61" s="22" t="n">
        <f aca="false">IF(B58=0,0,B60/B58/Assumptions!$B$26)</f>
        <v>1.65</v>
      </c>
      <c r="C61" s="22" t="n">
        <f aca="false">IF(C58=0,0,C60/C58/Assumptions!$B$26)</f>
        <v>2.34375</v>
      </c>
      <c r="D61" s="22" t="n">
        <f aca="false">IF(D58=0,0,D60/D58/Assumptions!$B$26)</f>
        <v>3.64035</v>
      </c>
      <c r="E61" s="22" t="n">
        <f aca="false">IF(E58=0,0,E60/E58/Assumptions!$B$26)</f>
        <v>4.791</v>
      </c>
      <c r="F61" s="22" t="n">
        <f aca="false">IF(F58=0,0,F60/F58/Assumptions!$B$26)</f>
        <v>5.07</v>
      </c>
      <c r="G61" s="22" t="n">
        <f aca="false">IF(G58=0,0,G60/G58/Assumptions!$B$26)</f>
        <v>5.07</v>
      </c>
    </row>
    <row r="62" customFormat="false" ht="15" hidden="false" customHeight="false" outlineLevel="0" collapsed="false">
      <c r="A62" s="9" t="s">
        <v>142</v>
      </c>
      <c r="B62" s="23" t="n">
        <f aca="false">B14+B31+B48</f>
        <v>12355200</v>
      </c>
      <c r="C62" s="23" t="n">
        <f aca="false">C14+C31+C48</f>
        <v>53584200</v>
      </c>
      <c r="D62" s="23" t="n">
        <f aca="false">D14+D31+D48</f>
        <v>105615792</v>
      </c>
      <c r="E62" s="23" t="n">
        <f aca="false">E14+E31+E48</f>
        <v>131785920</v>
      </c>
      <c r="F62" s="23" t="n">
        <f aca="false">F14+F31+F48</f>
        <v>137462400</v>
      </c>
      <c r="G62" s="23" t="n">
        <f aca="false">G14+G31+G48</f>
        <v>137462400</v>
      </c>
    </row>
    <row r="63" customFormat="false" ht="15" hidden="false" customHeight="false" outlineLevel="0" collapsed="false">
      <c r="A63" s="9" t="s">
        <v>194</v>
      </c>
      <c r="B63" s="23" t="n">
        <f aca="false">B15+B32+B49</f>
        <v>986172.352941176</v>
      </c>
      <c r="C63" s="23" t="n">
        <f aca="false">C15+C32+C49</f>
        <v>6163577.20588235</v>
      </c>
      <c r="D63" s="23" t="n">
        <f aca="false">D15+D32+D49</f>
        <v>17726448.0441176</v>
      </c>
      <c r="E63" s="23" t="n">
        <f aca="false">E15+E32+E49</f>
        <v>28352455.1470588</v>
      </c>
      <c r="F63" s="23" t="n">
        <f aca="false">F15+F32+F49</f>
        <v>32050601.4705882</v>
      </c>
      <c r="G63" s="23" t="n">
        <f aca="false">G15+G32+G49</f>
        <v>32050601.4705882</v>
      </c>
    </row>
    <row r="64" customFormat="false" ht="15" hidden="false" customHeight="false" outlineLevel="0" collapsed="false">
      <c r="A64" s="9" t="s">
        <v>144</v>
      </c>
      <c r="B64" s="23" t="n">
        <f aca="false">B16+B33+B50</f>
        <v>440000</v>
      </c>
      <c r="C64" s="23" t="n">
        <f aca="false">C16+C33+C50</f>
        <v>2380000</v>
      </c>
      <c r="D64" s="23" t="n">
        <f aca="false">D16+D33+D50</f>
        <v>5592000</v>
      </c>
      <c r="E64" s="23" t="n">
        <f aca="false">E16+E33+E50</f>
        <v>7520000</v>
      </c>
      <c r="F64" s="23" t="n">
        <f aca="false">F16+F33+F50</f>
        <v>8000000</v>
      </c>
      <c r="G64" s="23" t="n">
        <f aca="false">G16+G33+G50</f>
        <v>8000000</v>
      </c>
    </row>
    <row r="65" customFormat="false" ht="15" hidden="false" customHeight="false" outlineLevel="0" collapsed="false">
      <c r="A65" s="9" t="s">
        <v>145</v>
      </c>
      <c r="B65" s="23" t="n">
        <f aca="false">B17+B34+B51</f>
        <v>564300</v>
      </c>
      <c r="C65" s="23" t="n">
        <f aca="false">C17+C34+C51</f>
        <v>2805468.75</v>
      </c>
      <c r="D65" s="23" t="n">
        <f aca="false">D17+D34+D51</f>
        <v>6224998.5</v>
      </c>
      <c r="E65" s="23" t="n">
        <f aca="false">E17+E34+E51</f>
        <v>8192610</v>
      </c>
      <c r="F65" s="23" t="n">
        <f aca="false">F17+F34+F51</f>
        <v>8669700</v>
      </c>
      <c r="G65" s="23" t="n">
        <f aca="false">G17+G34+G51</f>
        <v>8669700</v>
      </c>
    </row>
    <row r="66" customFormat="false" ht="15" hidden="false" customHeight="false" outlineLevel="0" collapsed="false">
      <c r="A66" s="9" t="s">
        <v>146</v>
      </c>
      <c r="B66" s="23" t="n">
        <f aca="false">B18+B35+B52</f>
        <v>500000</v>
      </c>
      <c r="C66" s="23" t="n">
        <f aca="false">C18+C35+C52</f>
        <v>2250000</v>
      </c>
      <c r="D66" s="23" t="n">
        <f aca="false">D18+D35+D52</f>
        <v>4400000</v>
      </c>
      <c r="E66" s="23" t="n">
        <f aca="false">E18+E35+E52</f>
        <v>5000000</v>
      </c>
      <c r="F66" s="23" t="n">
        <f aca="false">F18+F35+F52</f>
        <v>5000000</v>
      </c>
      <c r="G66" s="23" t="n">
        <f aca="false">G18+G35+G52</f>
        <v>5000000</v>
      </c>
    </row>
    <row r="67" customFormat="false" ht="15" hidden="false" customHeight="false" outlineLevel="0" collapsed="false">
      <c r="A67" s="9" t="s">
        <v>195</v>
      </c>
      <c r="B67" s="32" t="n">
        <f aca="false">B62+B63+B64+B65</f>
        <v>14345672.3529412</v>
      </c>
      <c r="C67" s="32" t="n">
        <f aca="false">C62+C63+C64+C65</f>
        <v>64933245.9558824</v>
      </c>
      <c r="D67" s="32" t="n">
        <f aca="false">D62+D63+D64+D65</f>
        <v>135159238.544118</v>
      </c>
      <c r="E67" s="32" t="n">
        <f aca="false">E62+E63+E64+E65</f>
        <v>175850985.147059</v>
      </c>
      <c r="F67" s="32" t="n">
        <f aca="false">F62+F63+F64+F65</f>
        <v>186182701.470588</v>
      </c>
      <c r="G67" s="32" t="n">
        <f aca="false">G62+G63+G64+G65</f>
        <v>186182701.470588</v>
      </c>
    </row>
    <row r="68" customFormat="false" ht="15" hidden="false" customHeight="false" outlineLevel="0" collapsed="false">
      <c r="A68" s="12" t="s">
        <v>12</v>
      </c>
      <c r="B68" s="30" t="n">
        <f aca="false">B67+B66</f>
        <v>14845672.3529412</v>
      </c>
      <c r="C68" s="30" t="n">
        <f aca="false">C67+C66</f>
        <v>67183245.9558824</v>
      </c>
      <c r="D68" s="30" t="n">
        <f aca="false">D67+D66</f>
        <v>139559238.544118</v>
      </c>
      <c r="E68" s="30" t="n">
        <f aca="false">E67+E66</f>
        <v>180850985.147059</v>
      </c>
      <c r="F68" s="30" t="n">
        <f aca="false">F67+F66</f>
        <v>191182701.470588</v>
      </c>
      <c r="G68" s="30" t="n">
        <f aca="false">G67+G66</f>
        <v>191182701.470588</v>
      </c>
    </row>
    <row r="69" customFormat="false" ht="15" hidden="false" customHeight="false" outlineLevel="0" collapsed="false">
      <c r="A69" s="9" t="s">
        <v>147</v>
      </c>
      <c r="B69" s="23" t="n">
        <f aca="false">-B67*Assumptions!$B$24</f>
        <v>-2869134.47058824</v>
      </c>
      <c r="C69" s="23" t="n">
        <f aca="false">-C67*Assumptions!$B$24</f>
        <v>-12986649.1911765</v>
      </c>
      <c r="D69" s="23" t="n">
        <f aca="false">-D67*Assumptions!$B$24</f>
        <v>-27031847.7088235</v>
      </c>
      <c r="E69" s="23" t="n">
        <f aca="false">-E67*Assumptions!$B$24</f>
        <v>-35170197.0294118</v>
      </c>
      <c r="F69" s="23" t="n">
        <f aca="false">-F67*Assumptions!$B$24</f>
        <v>-37236540.2941177</v>
      </c>
      <c r="G69" s="23" t="n">
        <f aca="false">-G67*Assumptions!$B$24</f>
        <v>-37236540.2941177</v>
      </c>
    </row>
    <row r="70" customFormat="false" ht="15" hidden="false" customHeight="false" outlineLevel="0" collapsed="false">
      <c r="A70" s="9" t="s">
        <v>148</v>
      </c>
      <c r="B70" s="23" t="n">
        <f aca="false">-B67*Assumptions!$B$48</f>
        <v>-358641.808823529</v>
      </c>
      <c r="C70" s="23" t="n">
        <f aca="false">-C67*Assumptions!$B$48</f>
        <v>-1623331.14889706</v>
      </c>
      <c r="D70" s="23" t="n">
        <f aca="false">-D67*Assumptions!$B$48</f>
        <v>-3378980.96360294</v>
      </c>
      <c r="E70" s="23" t="n">
        <f aca="false">-E67*Assumptions!$B$48</f>
        <v>-4396274.62867647</v>
      </c>
      <c r="F70" s="23" t="n">
        <f aca="false">-F67*Assumptions!$B$48</f>
        <v>-4654567.53676471</v>
      </c>
      <c r="G70" s="23" t="n">
        <f aca="false">-G67*Assumptions!$B$48</f>
        <v>-4654567.53676471</v>
      </c>
    </row>
    <row r="71" customFormat="false" ht="15" hidden="false" customHeight="false" outlineLevel="0" collapsed="false">
      <c r="A71" s="9" t="s">
        <v>149</v>
      </c>
      <c r="B71" s="23" t="n">
        <f aca="false">-B68*Assumptions!$B$49</f>
        <v>-742283.617647059</v>
      </c>
      <c r="C71" s="23" t="n">
        <f aca="false">-C68*Assumptions!$B$49</f>
        <v>-3359162.29779412</v>
      </c>
      <c r="D71" s="23" t="n">
        <f aca="false">-D68*Assumptions!$B$49</f>
        <v>-6977961.92720588</v>
      </c>
      <c r="E71" s="23" t="n">
        <f aca="false">-E68*Assumptions!$B$49</f>
        <v>-9042549.25735294</v>
      </c>
      <c r="F71" s="23" t="n">
        <f aca="false">-F68*Assumptions!$B$49</f>
        <v>-9559135.07352941</v>
      </c>
      <c r="G71" s="23" t="n">
        <f aca="false">-G68*Assumptions!$B$49</f>
        <v>-9559135.07352941</v>
      </c>
    </row>
    <row r="72" customFormat="false" ht="15" hidden="false" customHeight="false" outlineLevel="0" collapsed="false">
      <c r="A72" s="9" t="s">
        <v>150</v>
      </c>
      <c r="B72" s="23" t="n">
        <f aca="false">-(B19+B36+B53)</f>
        <v>-888000</v>
      </c>
      <c r="C72" s="23" t="n">
        <f aca="false">-(C19+C36+C53)</f>
        <v>-3071000</v>
      </c>
      <c r="D72" s="23" t="n">
        <f aca="false">-(D19+D36+D53)</f>
        <v>-5067520</v>
      </c>
      <c r="E72" s="23" t="n">
        <f aca="false">-(E19+E36+E53)</f>
        <v>-5535200</v>
      </c>
      <c r="F72" s="23" t="n">
        <f aca="false">-(F19+F36+F53)</f>
        <v>-5535200</v>
      </c>
      <c r="G72" s="23" t="n">
        <f aca="false">-(G19+G36+G53)</f>
        <v>-5535200</v>
      </c>
    </row>
    <row r="73" customFormat="false" ht="15" hidden="false" customHeight="false" outlineLevel="0" collapsed="false">
      <c r="A73" s="9" t="s">
        <v>151</v>
      </c>
      <c r="B73" s="23" t="n">
        <f aca="false">-(B20+B37+B54)</f>
        <v>-480000</v>
      </c>
      <c r="C73" s="23" t="n">
        <f aca="false">-(C20+C37+C54)</f>
        <v>-2160000</v>
      </c>
      <c r="D73" s="23" t="n">
        <f aca="false">-(D20+D37+D54)</f>
        <v>-4224000</v>
      </c>
      <c r="E73" s="23" t="n">
        <f aca="false">-(E20+E37+E54)</f>
        <v>-4800000</v>
      </c>
      <c r="F73" s="23" t="n">
        <f aca="false">-(F20+F37+F54)</f>
        <v>-4800000</v>
      </c>
      <c r="G73" s="23" t="n">
        <f aca="false">-(G20+G37+G54)</f>
        <v>-4800000</v>
      </c>
    </row>
    <row r="74" customFormat="false" ht="15" hidden="false" customHeight="false" outlineLevel="0" collapsed="false">
      <c r="A74" s="9" t="s">
        <v>152</v>
      </c>
      <c r="B74" s="23" t="n">
        <f aca="false">-(B21+B38+B55)</f>
        <v>-288600</v>
      </c>
      <c r="C74" s="23" t="n">
        <f aca="false">-(C21+C38+C55)</f>
        <v>-998075</v>
      </c>
      <c r="D74" s="23" t="n">
        <f aca="false">-(D21+D38+D55)</f>
        <v>-1646944</v>
      </c>
      <c r="E74" s="23" t="n">
        <f aca="false">-(E21+E38+E55)</f>
        <v>-1798940</v>
      </c>
      <c r="F74" s="23" t="n">
        <f aca="false">-(F21+F38+F55)</f>
        <v>-1798940</v>
      </c>
      <c r="G74" s="23" t="n">
        <f aca="false">-(G21+G38+G55)</f>
        <v>-1798940</v>
      </c>
    </row>
    <row r="75" customFormat="false" ht="15" hidden="false" customHeight="false" outlineLevel="0" collapsed="false">
      <c r="A75" s="9" t="s">
        <v>196</v>
      </c>
      <c r="B75" s="5" t="n">
        <f aca="false">-Assumptions!B75</f>
        <v>-4000000</v>
      </c>
      <c r="C75" s="5" t="n">
        <f aca="false">-Assumptions!C75</f>
        <v>-8000000</v>
      </c>
      <c r="D75" s="5" t="n">
        <f aca="false">-Assumptions!D75</f>
        <v>-11000000</v>
      </c>
      <c r="E75" s="5" t="n">
        <f aca="false">-Assumptions!E75</f>
        <v>-12000000</v>
      </c>
      <c r="F75" s="5" t="n">
        <f aca="false">-Assumptions!F75</f>
        <v>-12000000</v>
      </c>
      <c r="G75" s="5" t="n">
        <f aca="false">-Assumptions!G75</f>
        <v>-12000000</v>
      </c>
    </row>
    <row r="76" customFormat="false" ht="15" hidden="false" customHeight="false" outlineLevel="0" collapsed="false">
      <c r="A76" s="9" t="s">
        <v>134</v>
      </c>
      <c r="B76" s="5" t="n">
        <f aca="false">-Assumptions!B76</f>
        <v>-2000000</v>
      </c>
      <c r="C76" s="5" t="n">
        <f aca="false">-Assumptions!C76</f>
        <v>-3000000</v>
      </c>
      <c r="D76" s="5" t="n">
        <f aca="false">-Assumptions!D76</f>
        <v>-4000000</v>
      </c>
      <c r="E76" s="5" t="n">
        <f aca="false">-Assumptions!E76</f>
        <v>-4000000</v>
      </c>
      <c r="F76" s="5" t="n">
        <f aca="false">-Assumptions!F76</f>
        <v>-4000000</v>
      </c>
      <c r="G76" s="5" t="n">
        <f aca="false">-Assumptions!G76</f>
        <v>-4000000</v>
      </c>
    </row>
    <row r="77" customFormat="false" ht="15" hidden="false" customHeight="false" outlineLevel="0" collapsed="false">
      <c r="A77" s="12" t="s">
        <v>14</v>
      </c>
      <c r="B77" s="27" t="n">
        <f aca="false">SUM(B68:B76)</f>
        <v>3219012.45588235</v>
      </c>
      <c r="C77" s="27" t="n">
        <f aca="false">SUM(C68:C76)</f>
        <v>31985028.3180147</v>
      </c>
      <c r="D77" s="27" t="n">
        <f aca="false">SUM(D68:D76)</f>
        <v>76231983.9444853</v>
      </c>
      <c r="E77" s="27" t="n">
        <f aca="false">SUM(E68:E76)</f>
        <v>104107824.231618</v>
      </c>
      <c r="F77" s="27" t="n">
        <f aca="false">SUM(F68:F76)</f>
        <v>111598318.566176</v>
      </c>
      <c r="G77" s="27" t="n">
        <f aca="false">SUM(G68:G76)</f>
        <v>111598318.566176</v>
      </c>
    </row>
    <row r="78" customFormat="false" ht="15" hidden="false" customHeight="false" outlineLevel="0" collapsed="false">
      <c r="A78" s="9" t="s">
        <v>15</v>
      </c>
      <c r="B78" s="18" t="n">
        <f aca="false">IF(B68=0,0,B77/B68)</f>
        <v>0.216831705520203</v>
      </c>
      <c r="C78" s="18" t="n">
        <f aca="false">IF(C68=0,0,C77/C68)</f>
        <v>0.476086379318715</v>
      </c>
      <c r="D78" s="18" t="n">
        <f aca="false">IF(D68=0,0,D77/D68)</f>
        <v>0.546233877024105</v>
      </c>
      <c r="E78" s="18" t="n">
        <f aca="false">IF(E68=0,0,E77/E68)</f>
        <v>0.575655278554123</v>
      </c>
      <c r="F78" s="18" t="n">
        <f aca="false">IF(F68=0,0,F77/F68)</f>
        <v>0.583726025983292</v>
      </c>
      <c r="G78" s="18" t="n">
        <f aca="false">IF(G68=0,0,G77/G68)</f>
        <v>0.583726025983292</v>
      </c>
    </row>
    <row r="79" customFormat="false" ht="15" hidden="false" customHeight="false" outlineLevel="0" collapsed="false">
      <c r="A79" s="9" t="s">
        <v>197</v>
      </c>
      <c r="B79" s="5" t="n">
        <f aca="false">-Debt!B93</f>
        <v>-6233760</v>
      </c>
      <c r="C79" s="5" t="n">
        <f aca="false">-Debt!C93</f>
        <v>-14890537.1904932</v>
      </c>
      <c r="D79" s="5" t="n">
        <f aca="false">-Debt!D93</f>
        <v>-17338233.6726889</v>
      </c>
      <c r="E79" s="5" t="n">
        <f aca="false">-Debt!E93</f>
        <v>-14407561.2708722</v>
      </c>
      <c r="F79" s="5" t="n">
        <f aca="false">-Debt!F93</f>
        <v>-10753709.376914</v>
      </c>
      <c r="G79" s="5" t="n">
        <f aca="false">-Debt!G93</f>
        <v>-6636457.60640671</v>
      </c>
    </row>
    <row r="80" customFormat="false" ht="15" hidden="false" customHeight="false" outlineLevel="0" collapsed="false">
      <c r="A80" s="9" t="s">
        <v>198</v>
      </c>
      <c r="B80" s="5" t="n">
        <f aca="false">-Debt!B94</f>
        <v>-0</v>
      </c>
      <c r="C80" s="5" t="n">
        <f aca="false">-Debt!C94</f>
        <v>-8067017.62953011</v>
      </c>
      <c r="D80" s="5" t="n">
        <f aca="false">-Debt!D94</f>
        <v>-20854518.0932018</v>
      </c>
      <c r="E80" s="5" t="n">
        <f aca="false">-Debt!E94</f>
        <v>-28810179.5848672</v>
      </c>
      <c r="F80" s="5" t="n">
        <f aca="false">-Debt!F94</f>
        <v>-32464031.4788254</v>
      </c>
      <c r="G80" s="5" t="n">
        <f aca="false">-Debt!G94</f>
        <v>-36581283.2493326</v>
      </c>
    </row>
    <row r="81" customFormat="false" ht="15" hidden="false" customHeight="false" outlineLevel="0" collapsed="false">
      <c r="A81" s="12" t="s">
        <v>16</v>
      </c>
      <c r="B81" s="30" t="n">
        <f aca="false">B79+B80</f>
        <v>-6233760</v>
      </c>
      <c r="C81" s="30" t="n">
        <f aca="false">C79+C80</f>
        <v>-22957554.8200233</v>
      </c>
      <c r="D81" s="30" t="n">
        <f aca="false">D79+D80</f>
        <v>-38192751.7658907</v>
      </c>
      <c r="E81" s="30" t="n">
        <f aca="false">E79+E80</f>
        <v>-43217740.8557394</v>
      </c>
      <c r="F81" s="30" t="n">
        <f aca="false">F79+F80</f>
        <v>-43217740.8557394</v>
      </c>
      <c r="G81" s="30" t="n">
        <f aca="false">G79+G80</f>
        <v>-43217740.8557394</v>
      </c>
    </row>
    <row r="82" customFormat="false" ht="15" hidden="false" customHeight="false" outlineLevel="0" collapsed="false">
      <c r="A82" s="9" t="s">
        <v>199</v>
      </c>
      <c r="B82" s="33" t="n">
        <f aca="false">IF(B81=0,0,B77/-B81)</f>
        <v>0.516383764514892</v>
      </c>
      <c r="C82" s="33" t="n">
        <f aca="false">IF(C81=0,0,C77/-C81)</f>
        <v>1.39322452102424</v>
      </c>
      <c r="D82" s="33" t="n">
        <f aca="false">IF(D81=0,0,D77/-D81)</f>
        <v>1.99598039993983</v>
      </c>
      <c r="E82" s="33" t="n">
        <f aca="false">IF(E81=0,0,E77/-E81)</f>
        <v>2.40891407487331</v>
      </c>
      <c r="F82" s="33" t="n">
        <f aca="false">IF(F81=0,0,F77/-F81)</f>
        <v>2.5822339705051</v>
      </c>
      <c r="G82" s="33" t="n">
        <f aca="false">IF(G81=0,0,G77/-G81)</f>
        <v>2.5822339705051</v>
      </c>
    </row>
    <row r="83" customFormat="false" ht="15" hidden="false" customHeight="false" outlineLevel="0" collapsed="false">
      <c r="A83" s="12" t="s">
        <v>18</v>
      </c>
      <c r="B83" s="27" t="n">
        <f aca="false">B77+B81</f>
        <v>-3014747.54411765</v>
      </c>
      <c r="C83" s="27" t="n">
        <f aca="false">C77+C81</f>
        <v>9027473.49799138</v>
      </c>
      <c r="D83" s="27" t="n">
        <f aca="false">D77+D81</f>
        <v>38039232.1785946</v>
      </c>
      <c r="E83" s="27" t="n">
        <f aca="false">E77+E81</f>
        <v>60890083.3758783</v>
      </c>
      <c r="F83" s="27" t="n">
        <f aca="false">F77+F81</f>
        <v>68380577.7104371</v>
      </c>
      <c r="G83" s="27" t="n">
        <f aca="false">G77+G81</f>
        <v>68380577.7104371</v>
      </c>
    </row>
    <row r="84" customFormat="false" ht="15" hidden="false" customHeight="false" outlineLevel="0" collapsed="false">
      <c r="A84" s="9" t="s">
        <v>184</v>
      </c>
      <c r="B84" s="23" t="n">
        <f aca="false">B10+B27+B44</f>
        <v>57720000</v>
      </c>
      <c r="C84" s="23" t="n">
        <f aca="false">C10+C27+C44</f>
        <v>84175000</v>
      </c>
      <c r="D84" s="23" t="n">
        <f aca="false">D10+D27+D44</f>
        <v>37999000</v>
      </c>
      <c r="E84" s="23" t="n">
        <f aca="false">E10+E27+E44</f>
        <v>0</v>
      </c>
      <c r="F84" s="23" t="n">
        <f aca="false">F10+F27+F44</f>
        <v>0</v>
      </c>
      <c r="G84" s="23" t="n">
        <f aca="false">G10+G27+G44</f>
        <v>0</v>
      </c>
    </row>
    <row r="85" customFormat="false" ht="15" hidden="false" customHeight="false" outlineLevel="0" collapsed="false">
      <c r="A85" s="9" t="s">
        <v>200</v>
      </c>
      <c r="B85" s="23" t="n">
        <f aca="false">-B84*(1-Assumptions!$B$18)</f>
        <v>-5772000</v>
      </c>
      <c r="C85" s="23" t="n">
        <f aca="false">-C84*(1-Assumptions!$B$18)</f>
        <v>-8417500</v>
      </c>
      <c r="D85" s="23" t="n">
        <f aca="false">-D84*(1-Assumptions!$B$18)</f>
        <v>-3799900</v>
      </c>
      <c r="E85" s="23" t="n">
        <f aca="false">-E84*(1-Assumptions!$B$18)</f>
        <v>-0</v>
      </c>
      <c r="F85" s="23" t="n">
        <f aca="false">-F84*(1-Assumptions!$B$18)</f>
        <v>-0</v>
      </c>
      <c r="G85" s="23" t="n">
        <f aca="false">-G84*(1-Assumptions!$B$18)</f>
        <v>-0</v>
      </c>
    </row>
    <row r="86" customFormat="false" ht="15" hidden="false" customHeight="false" outlineLevel="0" collapsed="false">
      <c r="A86" s="12" t="s">
        <v>201</v>
      </c>
      <c r="B86" s="30" t="n">
        <f aca="false">B83+B85</f>
        <v>-8786747.54411764</v>
      </c>
      <c r="C86" s="30" t="n">
        <f aca="false">C83+C85+B86</f>
        <v>-8176774.04612626</v>
      </c>
      <c r="D86" s="30" t="n">
        <f aca="false">D83+D85+C86</f>
        <v>26062558.1324684</v>
      </c>
      <c r="E86" s="30" t="n">
        <f aca="false">E83+E85+D86</f>
        <v>86952641.5083467</v>
      </c>
      <c r="F86" s="30" t="n">
        <f aca="false">F83+F85+E86</f>
        <v>155333219.218784</v>
      </c>
      <c r="G86" s="30" t="n">
        <f aca="false">G83+G85+F86</f>
        <v>223713796.929221</v>
      </c>
    </row>
    <row r="87" customFormat="false" ht="15" hidden="false" customHeight="false" outlineLevel="0" collapsed="false">
      <c r="A87" s="9" t="s">
        <v>202</v>
      </c>
      <c r="B87" s="23" t="n">
        <f aca="false">-B69</f>
        <v>2869134.47058824</v>
      </c>
      <c r="C87" s="23" t="n">
        <f aca="false">-C69</f>
        <v>12986649.1911765</v>
      </c>
      <c r="D87" s="23" t="n">
        <f aca="false">-D69</f>
        <v>27031847.7088235</v>
      </c>
      <c r="E87" s="23" t="n">
        <f aca="false">-E69</f>
        <v>35170197.0294118</v>
      </c>
      <c r="F87" s="23" t="n">
        <f aca="false">-F69</f>
        <v>37236540.2941177</v>
      </c>
      <c r="G87" s="23" t="n">
        <f aca="false">-G69</f>
        <v>37236540.2941177</v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5" hidden="false" customHeight="false" outlineLevel="0" collapsed="false">
      <c r="A89" s="12" t="s">
        <v>203</v>
      </c>
      <c r="B89" s="34" t="n">
        <f aca="false">-MIN(B86:G86)</f>
        <v>8786747.54411764</v>
      </c>
      <c r="C89" s="2"/>
      <c r="D89" s="2"/>
      <c r="E89" s="2"/>
      <c r="F89" s="2"/>
      <c r="G8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204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180</v>
      </c>
      <c r="B2" s="10" t="n">
        <f aca="false">Assumptions!$B$7</f>
        <v>0.7</v>
      </c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2" t="s">
        <v>126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4" t="s">
        <v>122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9" t="s">
        <v>181</v>
      </c>
      <c r="B7" s="21" t="n">
        <f aca="false">2027-Assumptions!$B$69</f>
        <v>0</v>
      </c>
      <c r="C7" s="21" t="n">
        <f aca="false">2028-Assumptions!$B$69</f>
        <v>1</v>
      </c>
      <c r="D7" s="21" t="n">
        <f aca="false">2029-Assumptions!$B$69</f>
        <v>2</v>
      </c>
      <c r="E7" s="21" t="n">
        <f aca="false">2030-Assumptions!$B$69</f>
        <v>3</v>
      </c>
      <c r="F7" s="21" t="n">
        <f aca="false">2031-Assumptions!$B$69</f>
        <v>4</v>
      </c>
      <c r="G7" s="21" t="n">
        <f aca="false">2032-Assumptions!$B$69</f>
        <v>5</v>
      </c>
    </row>
    <row r="8" customFormat="false" ht="15" hidden="false" customHeight="false" outlineLevel="0" collapsed="false">
      <c r="A8" s="9" t="s">
        <v>182</v>
      </c>
      <c r="B8" s="18" t="n">
        <f aca="false">IF(B7&lt;0,0,IF(B7=0,Assumptions!$C$69,1))</f>
        <v>0.5</v>
      </c>
      <c r="C8" s="18" t="n">
        <f aca="false">IF(C7&lt;0,0,IF(C7=0,Assumptions!$C$69,1))</f>
        <v>1</v>
      </c>
      <c r="D8" s="18" t="n">
        <f aca="false">IF(D7&lt;0,0,IF(D7=0,Assumptions!$C$69,1))</f>
        <v>1</v>
      </c>
      <c r="E8" s="18" t="n">
        <f aca="false">IF(E7&lt;0,0,IF(E7=0,Assumptions!$C$69,1))</f>
        <v>1</v>
      </c>
      <c r="F8" s="18" t="n">
        <f aca="false">IF(F7&lt;0,0,IF(F7=0,Assumptions!$C$69,1))</f>
        <v>1</v>
      </c>
      <c r="G8" s="18" t="n">
        <f aca="false">IF(G7&lt;0,0,IF(G7=0,Assumptions!$C$69,1))</f>
        <v>1</v>
      </c>
    </row>
    <row r="9" customFormat="false" ht="15" hidden="false" customHeight="false" outlineLevel="0" collapsed="false">
      <c r="A9" s="9" t="s">
        <v>183</v>
      </c>
      <c r="B9" s="18" t="n">
        <f aca="false">B8*IF(B7=0,Assumptions!$B$56,IF(B7=1,Assumptions!$B$57,1))</f>
        <v>0.275</v>
      </c>
      <c r="C9" s="18" t="n">
        <f aca="false">C8*IF(C7=0,Assumptions!$B$56,IF(C7=1,Assumptions!$B$57,1))</f>
        <v>0.8</v>
      </c>
      <c r="D9" s="18" t="n">
        <f aca="false">D8*IF(D7=0,Assumptions!$B$56,IF(D7=1,Assumptions!$B$57,1))</f>
        <v>1</v>
      </c>
      <c r="E9" s="18" t="n">
        <f aca="false">E8*IF(E7=0,Assumptions!$B$56,IF(E7=1,Assumptions!$B$57,1))</f>
        <v>1</v>
      </c>
      <c r="F9" s="18" t="n">
        <f aca="false">F8*IF(F7=0,Assumptions!$B$56,IF(F7=1,Assumptions!$B$57,1))</f>
        <v>1</v>
      </c>
      <c r="G9" s="18" t="n">
        <f aca="false">G8*IF(G7=0,Assumptions!$B$56,IF(G7=1,Assumptions!$B$57,1))</f>
        <v>1</v>
      </c>
    </row>
    <row r="10" customFormat="false" ht="15" hidden="false" customHeight="false" outlineLevel="0" collapsed="false">
      <c r="A10" s="9" t="s">
        <v>184</v>
      </c>
      <c r="B10" s="23" t="n">
        <f aca="false">IF(B7=0,Debt!$D$5,0)</f>
        <v>57720000</v>
      </c>
      <c r="C10" s="23" t="n">
        <f aca="false">IF(C7=0,Debt!$D$5,0)</f>
        <v>0</v>
      </c>
      <c r="D10" s="23" t="n">
        <f aca="false">IF(D7=0,Debt!$D$5,0)</f>
        <v>0</v>
      </c>
      <c r="E10" s="23" t="n">
        <f aca="false">IF(E7=0,Debt!$D$5,0)</f>
        <v>0</v>
      </c>
      <c r="F10" s="23" t="n">
        <f aca="false">IF(F7=0,Debt!$D$5,0)</f>
        <v>0</v>
      </c>
      <c r="G10" s="23" t="n">
        <f aca="false">IF(G7=0,Debt!$D$5,0)</f>
        <v>0</v>
      </c>
    </row>
    <row r="11" customFormat="false" ht="15" hidden="false" customHeight="false" outlineLevel="0" collapsed="false">
      <c r="A11" s="9" t="s">
        <v>185</v>
      </c>
      <c r="B11" s="21" t="n">
        <f aca="false">IF(B7&gt;=0,SUM(Assumptions!$D$69:$F$69),0)</f>
        <v>40</v>
      </c>
      <c r="C11" s="21" t="n">
        <f aca="false">IF(C7&gt;=0,SUM(Assumptions!$D$69:$F$69),0)</f>
        <v>40</v>
      </c>
      <c r="D11" s="21" t="n">
        <f aca="false">IF(D7&gt;=0,SUM(Assumptions!$D$69:$F$69),0)</f>
        <v>40</v>
      </c>
      <c r="E11" s="21" t="n">
        <f aca="false">IF(E7&gt;=0,SUM(Assumptions!$D$69:$F$69),0)</f>
        <v>40</v>
      </c>
      <c r="F11" s="21" t="n">
        <f aca="false">IF(F7&gt;=0,SUM(Assumptions!$D$69:$F$69),0)</f>
        <v>40</v>
      </c>
      <c r="G11" s="21" t="n">
        <f aca="false">IF(G7&gt;=0,SUM(Assumptions!$D$69:$F$69),0)</f>
        <v>40</v>
      </c>
    </row>
    <row r="12" customFormat="false" ht="15" hidden="false" customHeight="false" outlineLevel="0" collapsed="false">
      <c r="A12" s="9" t="s">
        <v>186</v>
      </c>
      <c r="B12" s="21" t="n">
        <f aca="false">IF(B7&gt;=0,Assumptions!$G$69,0)</f>
        <v>20</v>
      </c>
      <c r="C12" s="21" t="n">
        <f aca="false">IF(C7&gt;=0,Assumptions!$G$69,0)</f>
        <v>20</v>
      </c>
      <c r="D12" s="21" t="n">
        <f aca="false">IF(D7&gt;=0,Assumptions!$G$69,0)</f>
        <v>20</v>
      </c>
      <c r="E12" s="21" t="n">
        <f aca="false">IF(E7&gt;=0,Assumptions!$G$69,0)</f>
        <v>20</v>
      </c>
      <c r="F12" s="21" t="n">
        <f aca="false">IF(F7&gt;=0,Assumptions!$G$69,0)</f>
        <v>20</v>
      </c>
      <c r="G12" s="21" t="n">
        <f aca="false">IF(G7&gt;=0,Assumptions!$G$69,0)</f>
        <v>20</v>
      </c>
    </row>
    <row r="13" customFormat="false" ht="15" hidden="false" customHeight="false" outlineLevel="0" collapsed="false">
      <c r="A13" s="9" t="s">
        <v>187</v>
      </c>
      <c r="B13" s="21" t="n">
        <f aca="false">(Assumptions!$D$69*MIN(Assumptions!$C$63*$B$2,Assumptions!$B$28)+Assumptions!$E$69*MIN(Assumptions!$C$64*$B$2,Assumptions!$B$28)+Assumptions!$F$69*MIN(Assumptions!$C$65*$B$2,Assumptions!$B$28))*Assumptions!$B$27*B9</f>
        <v>16632</v>
      </c>
      <c r="C13" s="21" t="n">
        <f aca="false">(Assumptions!$D$69*MIN(Assumptions!$C$63*$B$2,Assumptions!$B$28)+Assumptions!$E$69*MIN(Assumptions!$C$64*$B$2,Assumptions!$B$28)+Assumptions!$F$69*MIN(Assumptions!$C$65*$B$2,Assumptions!$B$28))*Assumptions!$B$27*C9</f>
        <v>48384</v>
      </c>
      <c r="D13" s="21" t="n">
        <f aca="false">(Assumptions!$D$69*MIN(Assumptions!$C$63*$B$2,Assumptions!$B$28)+Assumptions!$E$69*MIN(Assumptions!$C$64*$B$2,Assumptions!$B$28)+Assumptions!$F$69*MIN(Assumptions!$C$65*$B$2,Assumptions!$B$28))*Assumptions!$B$27*D9</f>
        <v>60480</v>
      </c>
      <c r="E13" s="21" t="n">
        <f aca="false">(Assumptions!$D$69*MIN(Assumptions!$C$63*$B$2,Assumptions!$B$28)+Assumptions!$E$69*MIN(Assumptions!$C$64*$B$2,Assumptions!$B$28)+Assumptions!$F$69*MIN(Assumptions!$C$65*$B$2,Assumptions!$B$28))*Assumptions!$B$27*E9</f>
        <v>60480</v>
      </c>
      <c r="F13" s="21" t="n">
        <f aca="false">(Assumptions!$D$69*MIN(Assumptions!$C$63*$B$2,Assumptions!$B$28)+Assumptions!$E$69*MIN(Assumptions!$C$64*$B$2,Assumptions!$B$28)+Assumptions!$F$69*MIN(Assumptions!$C$65*$B$2,Assumptions!$B$28))*Assumptions!$B$27*F9</f>
        <v>60480</v>
      </c>
      <c r="G13" s="21" t="n">
        <f aca="false">(Assumptions!$D$69*MIN(Assumptions!$C$63*$B$2,Assumptions!$B$28)+Assumptions!$E$69*MIN(Assumptions!$C$64*$B$2,Assumptions!$B$28)+Assumptions!$F$69*MIN(Assumptions!$C$65*$B$2,Assumptions!$B$28))*Assumptions!$B$27*G9</f>
        <v>60480</v>
      </c>
    </row>
    <row r="14" customFormat="false" ht="15" hidden="false" customHeight="false" outlineLevel="0" collapsed="false">
      <c r="A14" s="9" t="s">
        <v>142</v>
      </c>
      <c r="B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(Assumptions!$D$69*MIN(Assumptions!$C$63*$B$2,Assumptions!$B$28)*Assumptions!$D$63+Assumptions!$E$69*MIN(Assumptions!$C$64*$B$2,Assumptions!$B$28)*Assumptions!$D$64+Assumptions!$F$69*MIN(Assumptions!$C$65*$B$2,Assumptions!$B$28)*Assumptions!$D$65)*Assumptions!$B$27*B9</f>
        <v>8648640</v>
      </c>
      <c r="C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(Assumptions!$D$69*MIN(Assumptions!$C$63*$B$2,Assumptions!$B$28)*Assumptions!$D$63+Assumptions!$E$69*MIN(Assumptions!$C$64*$B$2,Assumptions!$B$28)*Assumptions!$D$64+Assumptions!$F$69*MIN(Assumptions!$C$65*$B$2,Assumptions!$B$28)*Assumptions!$D$65)*Assumptions!$B$27*C9</f>
        <v>25159680</v>
      </c>
      <c r="D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(Assumptions!$D$69*MIN(Assumptions!$C$63*$B$2,Assumptions!$B$28)*Assumptions!$D$63+Assumptions!$E$69*MIN(Assumptions!$C$64*$B$2,Assumptions!$B$28)*Assumptions!$D$64+Assumptions!$F$69*MIN(Assumptions!$C$65*$B$2,Assumptions!$B$28)*Assumptions!$D$65)*Assumptions!$B$27*D9</f>
        <v>31449600</v>
      </c>
      <c r="E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(Assumptions!$D$69*MIN(Assumptions!$C$63*$B$2,Assumptions!$B$28)*Assumptions!$D$63+Assumptions!$E$69*MIN(Assumptions!$C$64*$B$2,Assumptions!$B$28)*Assumptions!$D$64+Assumptions!$F$69*MIN(Assumptions!$C$65*$B$2,Assumptions!$B$28)*Assumptions!$D$65)*Assumptions!$B$27*E9</f>
        <v>31449600</v>
      </c>
      <c r="F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(Assumptions!$D$69*MIN(Assumptions!$C$63*$B$2,Assumptions!$B$28)*Assumptions!$D$63+Assumptions!$E$69*MIN(Assumptions!$C$64*$B$2,Assumptions!$B$28)*Assumptions!$D$64+Assumptions!$F$69*MIN(Assumptions!$C$65*$B$2,Assumptions!$B$28)*Assumptions!$D$65)*Assumptions!$B$27*F9</f>
        <v>31449600</v>
      </c>
      <c r="G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(Assumptions!$D$69*MIN(Assumptions!$C$63*$B$2,Assumptions!$B$28)*Assumptions!$D$63+Assumptions!$E$69*MIN(Assumptions!$C$64*$B$2,Assumptions!$B$28)*Assumptions!$D$64+Assumptions!$F$69*MIN(Assumptions!$C$65*$B$2,Assumptions!$B$28)*Assumptions!$D$65)*Assumptions!$B$27*G9</f>
        <v>31449600</v>
      </c>
    </row>
    <row r="15" customFormat="false" ht="15" hidden="false" customHeight="false" outlineLevel="0" collapsed="false">
      <c r="A15" s="9" t="s">
        <v>188</v>
      </c>
      <c r="B15" s="23" t="n">
        <f aca="false">Assumptions!$G$69*Assumptions!$B$33*Assumptions!$B$35*$B$2*IF(B7=0,Assumptions!$B$36,IF(B7=1,Assumptions!$B$37,1))*Assumptions!$B$34*12*B8</f>
        <v>690320.647058823</v>
      </c>
      <c r="C15" s="23" t="n">
        <f aca="false">Assumptions!$G$69*Assumptions!$B$33*Assumptions!$B$35*$B$2*IF(C7=0,Assumptions!$B$36,IF(C7=1,Assumptions!$B$37,1))*Assumptions!$B$34*12*C8</f>
        <v>2588702.42647059</v>
      </c>
      <c r="D15" s="23" t="n">
        <f aca="false">Assumptions!$G$69*Assumptions!$B$33*Assumptions!$B$35*$B$2*IF(D7=0,Assumptions!$B$36,IF(D7=1,Assumptions!$B$37,1))*Assumptions!$B$34*12*D8</f>
        <v>3451603.23529412</v>
      </c>
      <c r="E15" s="23" t="n">
        <f aca="false">Assumptions!$G$69*Assumptions!$B$33*Assumptions!$B$35*$B$2*IF(E7=0,Assumptions!$B$36,IF(E7=1,Assumptions!$B$37,1))*Assumptions!$B$34*12*E8</f>
        <v>3451603.23529412</v>
      </c>
      <c r="F15" s="23" t="n">
        <f aca="false">Assumptions!$G$69*Assumptions!$B$33*Assumptions!$B$35*$B$2*IF(F7=0,Assumptions!$B$36,IF(F7=1,Assumptions!$B$37,1))*Assumptions!$B$34*12*F8</f>
        <v>3451603.23529412</v>
      </c>
      <c r="G15" s="23" t="n">
        <f aca="false">Assumptions!$G$69*Assumptions!$B$33*Assumptions!$B$35*$B$2*IF(G7=0,Assumptions!$B$36,IF(G7=1,Assumptions!$B$37,1))*Assumptions!$B$34*12*G8</f>
        <v>3451603.23529412</v>
      </c>
    </row>
    <row r="16" customFormat="false" ht="15" hidden="false" customHeight="false" outlineLevel="0" collapsed="false">
      <c r="A16" s="9" t="s">
        <v>144</v>
      </c>
      <c r="B16" s="23" t="n">
        <f aca="false">B11*Assumptions!$B$40*B9</f>
        <v>440000</v>
      </c>
      <c r="C16" s="23" t="n">
        <f aca="false">C11*Assumptions!$B$40*C9</f>
        <v>1280000</v>
      </c>
      <c r="D16" s="23" t="n">
        <f aca="false">D11*Assumptions!$B$40*D9</f>
        <v>1600000</v>
      </c>
      <c r="E16" s="23" t="n">
        <f aca="false">E11*Assumptions!$B$40*E9</f>
        <v>1600000</v>
      </c>
      <c r="F16" s="23" t="n">
        <f aca="false">F11*Assumptions!$B$40*F9</f>
        <v>1600000</v>
      </c>
      <c r="G16" s="23" t="n">
        <f aca="false">G11*Assumptions!$B$40*G9</f>
        <v>1600000</v>
      </c>
    </row>
    <row r="17" customFormat="false" ht="15" hidden="false" customHeight="false" outlineLevel="0" collapsed="false">
      <c r="A17" s="9" t="s">
        <v>189</v>
      </c>
      <c r="B17" s="23" t="n">
        <f aca="false">B13*Assumptions!$B$45</f>
        <v>395010</v>
      </c>
      <c r="C17" s="23" t="n">
        <f aca="false">C13*Assumptions!$B$45</f>
        <v>1149120</v>
      </c>
      <c r="D17" s="23" t="n">
        <f aca="false">D13*Assumptions!$B$45</f>
        <v>1436400</v>
      </c>
      <c r="E17" s="23" t="n">
        <f aca="false">E13*Assumptions!$B$45</f>
        <v>1436400</v>
      </c>
      <c r="F17" s="23" t="n">
        <f aca="false">F13*Assumptions!$B$45</f>
        <v>1436400</v>
      </c>
      <c r="G17" s="23" t="n">
        <f aca="false">G13*Assumptions!$B$45</f>
        <v>1436400</v>
      </c>
    </row>
    <row r="18" customFormat="false" ht="15" hidden="false" customHeight="false" outlineLevel="0" collapsed="false">
      <c r="A18" s="9" t="s">
        <v>146</v>
      </c>
      <c r="B18" s="23" t="n">
        <f aca="false">B11*Assumptions!$B$41*B8</f>
        <v>500000</v>
      </c>
      <c r="C18" s="23" t="n">
        <f aca="false">C11*Assumptions!$B$41*C8</f>
        <v>1000000</v>
      </c>
      <c r="D18" s="23" t="n">
        <f aca="false">D11*Assumptions!$B$41*D8</f>
        <v>1000000</v>
      </c>
      <c r="E18" s="23" t="n">
        <f aca="false">E11*Assumptions!$B$41*E8</f>
        <v>1000000</v>
      </c>
      <c r="F18" s="23" t="n">
        <f aca="false">F11*Assumptions!$B$41*F8</f>
        <v>1000000</v>
      </c>
      <c r="G18" s="23" t="n">
        <f aca="false">G11*Assumptions!$B$41*G8</f>
        <v>1000000</v>
      </c>
    </row>
    <row r="19" customFormat="false" ht="15" hidden="false" customHeight="false" outlineLevel="0" collapsed="false">
      <c r="A19" s="9" t="s">
        <v>150</v>
      </c>
      <c r="B19" s="23" t="n">
        <f aca="false">(Assumptions!$D$69*Assumptions!$B$63*Assumptions!$B$12+Assumptions!$E$69*Assumptions!$B$64*Assumptions!$B$12+Assumptions!$F$69*Assumptions!$B$65*Assumptions!$B$12)*Assumptions!$B$51*B8</f>
        <v>888000</v>
      </c>
      <c r="C19" s="23" t="n">
        <f aca="false">(Assumptions!$D$69*Assumptions!$B$63*Assumptions!$B$12+Assumptions!$E$69*Assumptions!$B$64*Assumptions!$B$12+Assumptions!$F$69*Assumptions!$B$65*Assumptions!$B$12)*Assumptions!$B$51*C8</f>
        <v>1776000</v>
      </c>
      <c r="D19" s="23" t="n">
        <f aca="false">(Assumptions!$D$69*Assumptions!$B$63*Assumptions!$B$12+Assumptions!$E$69*Assumptions!$B$64*Assumptions!$B$12+Assumptions!$F$69*Assumptions!$B$65*Assumptions!$B$12)*Assumptions!$B$51*D8</f>
        <v>1776000</v>
      </c>
      <c r="E19" s="23" t="n">
        <f aca="false">(Assumptions!$D$69*Assumptions!$B$63*Assumptions!$B$12+Assumptions!$E$69*Assumptions!$B$64*Assumptions!$B$12+Assumptions!$F$69*Assumptions!$B$65*Assumptions!$B$12)*Assumptions!$B$51*E8</f>
        <v>1776000</v>
      </c>
      <c r="F19" s="23" t="n">
        <f aca="false">(Assumptions!$D$69*Assumptions!$B$63*Assumptions!$B$12+Assumptions!$E$69*Assumptions!$B$64*Assumptions!$B$12+Assumptions!$F$69*Assumptions!$B$65*Assumptions!$B$12)*Assumptions!$B$51*F8</f>
        <v>1776000</v>
      </c>
      <c r="G19" s="23" t="n">
        <f aca="false">(Assumptions!$D$69*Assumptions!$B$63*Assumptions!$B$12+Assumptions!$E$69*Assumptions!$B$64*Assumptions!$B$12+Assumptions!$F$69*Assumptions!$B$65*Assumptions!$B$12)*Assumptions!$B$51*G8</f>
        <v>1776000</v>
      </c>
    </row>
    <row r="20" customFormat="false" ht="15" hidden="false" customHeight="false" outlineLevel="0" collapsed="false">
      <c r="A20" s="9" t="s">
        <v>151</v>
      </c>
      <c r="B20" s="23" t="n">
        <f aca="false">B11*Assumptions!$B$52*B8</f>
        <v>480000</v>
      </c>
      <c r="C20" s="23" t="n">
        <f aca="false">C11*Assumptions!$B$52*C8</f>
        <v>960000</v>
      </c>
      <c r="D20" s="23" t="n">
        <f aca="false">D11*Assumptions!$B$52*D8</f>
        <v>960000</v>
      </c>
      <c r="E20" s="23" t="n">
        <f aca="false">E11*Assumptions!$B$52*E8</f>
        <v>960000</v>
      </c>
      <c r="F20" s="23" t="n">
        <f aca="false">F11*Assumptions!$B$52*F8</f>
        <v>960000</v>
      </c>
      <c r="G20" s="23" t="n">
        <f aca="false">G11*Assumptions!$B$52*G8</f>
        <v>960000</v>
      </c>
    </row>
    <row r="21" customFormat="false" ht="15" hidden="false" customHeight="false" outlineLevel="0" collapsed="false">
      <c r="A21" s="9" t="s">
        <v>152</v>
      </c>
      <c r="B21" s="23" t="n">
        <f aca="false">Debt!$D$5*Assumptions!$B$50*B8</f>
        <v>288600</v>
      </c>
      <c r="C21" s="23" t="n">
        <f aca="false">Debt!$D$5*Assumptions!$B$50*C8</f>
        <v>577200</v>
      </c>
      <c r="D21" s="23" t="n">
        <f aca="false">Debt!$D$5*Assumptions!$B$50*D8</f>
        <v>577200</v>
      </c>
      <c r="E21" s="23" t="n">
        <f aca="false">Debt!$D$5*Assumptions!$B$50*E8</f>
        <v>577200</v>
      </c>
      <c r="F21" s="23" t="n">
        <f aca="false">Debt!$D$5*Assumptions!$B$50*F8</f>
        <v>577200</v>
      </c>
      <c r="G21" s="23" t="n">
        <f aca="false">Debt!$D$5*Assumptions!$B$50*G8</f>
        <v>577200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4" t="s">
        <v>123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9" t="s">
        <v>181</v>
      </c>
      <c r="B24" s="21" t="n">
        <f aca="false">2027-Assumptions!$B$70</f>
        <v>-1</v>
      </c>
      <c r="C24" s="21" t="n">
        <f aca="false">2028-Assumptions!$B$70</f>
        <v>0</v>
      </c>
      <c r="D24" s="21" t="n">
        <f aca="false">2029-Assumptions!$B$70</f>
        <v>1</v>
      </c>
      <c r="E24" s="21" t="n">
        <f aca="false">2030-Assumptions!$B$70</f>
        <v>2</v>
      </c>
      <c r="F24" s="21" t="n">
        <f aca="false">2031-Assumptions!$B$70</f>
        <v>3</v>
      </c>
      <c r="G24" s="21" t="n">
        <f aca="false">2032-Assumptions!$B$70</f>
        <v>4</v>
      </c>
    </row>
    <row r="25" customFormat="false" ht="15" hidden="false" customHeight="false" outlineLevel="0" collapsed="false">
      <c r="A25" s="9" t="s">
        <v>182</v>
      </c>
      <c r="B25" s="18" t="n">
        <f aca="false">IF(B24&lt;0,0,IF(B24=0,Assumptions!$C$70,1))</f>
        <v>0</v>
      </c>
      <c r="C25" s="18" t="n">
        <f aca="false">IF(C24&lt;0,0,IF(C24=0,Assumptions!$C$70,1))</f>
        <v>0.5</v>
      </c>
      <c r="D25" s="18" t="n">
        <f aca="false">IF(D24&lt;0,0,IF(D24=0,Assumptions!$C$70,1))</f>
        <v>1</v>
      </c>
      <c r="E25" s="18" t="n">
        <f aca="false">IF(E24&lt;0,0,IF(E24=0,Assumptions!$C$70,1))</f>
        <v>1</v>
      </c>
      <c r="F25" s="18" t="n">
        <f aca="false">IF(F24&lt;0,0,IF(F24=0,Assumptions!$C$70,1))</f>
        <v>1</v>
      </c>
      <c r="G25" s="18" t="n">
        <f aca="false">IF(G24&lt;0,0,IF(G24=0,Assumptions!$C$70,1))</f>
        <v>1</v>
      </c>
    </row>
    <row r="26" customFormat="false" ht="15" hidden="false" customHeight="false" outlineLevel="0" collapsed="false">
      <c r="A26" s="9" t="s">
        <v>183</v>
      </c>
      <c r="B26" s="18" t="n">
        <f aca="false">B25*IF(B24=0,Assumptions!$B$56,IF(B24=1,Assumptions!$B$57,1))</f>
        <v>0</v>
      </c>
      <c r="C26" s="18" t="n">
        <f aca="false">C25*IF(C24=0,Assumptions!$B$56,IF(C24=1,Assumptions!$B$57,1))</f>
        <v>0.275</v>
      </c>
      <c r="D26" s="18" t="n">
        <f aca="false">D25*IF(D24=0,Assumptions!$B$56,IF(D24=1,Assumptions!$B$57,1))</f>
        <v>0.8</v>
      </c>
      <c r="E26" s="18" t="n">
        <f aca="false">E25*IF(E24=0,Assumptions!$B$56,IF(E24=1,Assumptions!$B$57,1))</f>
        <v>1</v>
      </c>
      <c r="F26" s="18" t="n">
        <f aca="false">F25*IF(F24=0,Assumptions!$B$56,IF(F24=1,Assumptions!$B$57,1))</f>
        <v>1</v>
      </c>
      <c r="G26" s="18" t="n">
        <f aca="false">G25*IF(G24=0,Assumptions!$B$56,IF(G24=1,Assumptions!$B$57,1))</f>
        <v>1</v>
      </c>
    </row>
    <row r="27" customFormat="false" ht="15" hidden="false" customHeight="false" outlineLevel="0" collapsed="false">
      <c r="A27" s="9" t="s">
        <v>184</v>
      </c>
      <c r="B27" s="23" t="n">
        <f aca="false">IF(B24=0,Debt!$J$5,0)</f>
        <v>0</v>
      </c>
      <c r="C27" s="23" t="n">
        <f aca="false">IF(C24=0,Debt!$J$5,0)</f>
        <v>84175000</v>
      </c>
      <c r="D27" s="23" t="n">
        <f aca="false">IF(D24=0,Debt!$J$5,0)</f>
        <v>0</v>
      </c>
      <c r="E27" s="23" t="n">
        <f aca="false">IF(E24=0,Debt!$J$5,0)</f>
        <v>0</v>
      </c>
      <c r="F27" s="23" t="n">
        <f aca="false">IF(F24=0,Debt!$J$5,0)</f>
        <v>0</v>
      </c>
      <c r="G27" s="23" t="n">
        <f aca="false">IF(G24=0,Debt!$J$5,0)</f>
        <v>0</v>
      </c>
    </row>
    <row r="28" customFormat="false" ht="15" hidden="false" customHeight="false" outlineLevel="0" collapsed="false">
      <c r="A28" s="9" t="s">
        <v>185</v>
      </c>
      <c r="B28" s="21" t="n">
        <f aca="false">IF(B24&gt;=0,SUM(Assumptions!$D$70:$F$70),0)</f>
        <v>0</v>
      </c>
      <c r="C28" s="21" t="n">
        <f aca="false">IF(C24&gt;=0,SUM(Assumptions!$D$70:$F$70),0)</f>
        <v>100</v>
      </c>
      <c r="D28" s="21" t="n">
        <f aca="false">IF(D24&gt;=0,SUM(Assumptions!$D$70:$F$70),0)</f>
        <v>100</v>
      </c>
      <c r="E28" s="21" t="n">
        <f aca="false">IF(E24&gt;=0,SUM(Assumptions!$D$70:$F$70),0)</f>
        <v>100</v>
      </c>
      <c r="F28" s="21" t="n">
        <f aca="false">IF(F24&gt;=0,SUM(Assumptions!$D$70:$F$70),0)</f>
        <v>100</v>
      </c>
      <c r="G28" s="21" t="n">
        <f aca="false">IF(G24&gt;=0,SUM(Assumptions!$D$70:$F$70),0)</f>
        <v>100</v>
      </c>
    </row>
    <row r="29" customFormat="false" ht="15" hidden="false" customHeight="false" outlineLevel="0" collapsed="false">
      <c r="A29" s="9" t="s">
        <v>186</v>
      </c>
      <c r="B29" s="21" t="n">
        <f aca="false">IF(B24&gt;=0,Assumptions!$G$70,0)</f>
        <v>0</v>
      </c>
      <c r="C29" s="21" t="n">
        <f aca="false">IF(C24&gt;=0,Assumptions!$G$70,0)</f>
        <v>50</v>
      </c>
      <c r="D29" s="21" t="n">
        <f aca="false">IF(D24&gt;=0,Assumptions!$G$70,0)</f>
        <v>50</v>
      </c>
      <c r="E29" s="21" t="n">
        <f aca="false">IF(E24&gt;=0,Assumptions!$G$70,0)</f>
        <v>50</v>
      </c>
      <c r="F29" s="21" t="n">
        <f aca="false">IF(F24&gt;=0,Assumptions!$G$70,0)</f>
        <v>50</v>
      </c>
      <c r="G29" s="21" t="n">
        <f aca="false">IF(G24&gt;=0,Assumptions!$G$70,0)</f>
        <v>50</v>
      </c>
    </row>
    <row r="30" customFormat="false" ht="15" hidden="false" customHeight="false" outlineLevel="0" collapsed="false">
      <c r="A30" s="9" t="s">
        <v>187</v>
      </c>
      <c r="B30" s="21" t="n">
        <f aca="false">(Assumptions!$D$70*MIN(Assumptions!$C$63*$B$2,Assumptions!$B$28)+Assumptions!$E$70*MIN(Assumptions!$C$64*$B$2,Assumptions!$B$28)+Assumptions!$F$70*MIN(Assumptions!$C$65*$B$2,Assumptions!$B$28))*Assumptions!$B$27*B26</f>
        <v>0</v>
      </c>
      <c r="C30" s="21" t="n">
        <f aca="false">(Assumptions!$D$70*MIN(Assumptions!$C$63*$B$2,Assumptions!$B$28)+Assumptions!$E$70*MIN(Assumptions!$C$64*$B$2,Assumptions!$B$28)+Assumptions!$F$70*MIN(Assumptions!$C$65*$B$2,Assumptions!$B$28))*Assumptions!$B$27*C26</f>
        <v>34303.5</v>
      </c>
      <c r="D30" s="21" t="n">
        <f aca="false">(Assumptions!$D$70*MIN(Assumptions!$C$63*$B$2,Assumptions!$B$28)+Assumptions!$E$70*MIN(Assumptions!$C$64*$B$2,Assumptions!$B$28)+Assumptions!$F$70*MIN(Assumptions!$C$65*$B$2,Assumptions!$B$28))*Assumptions!$B$27*D26</f>
        <v>99792</v>
      </c>
      <c r="E30" s="21" t="n">
        <f aca="false">(Assumptions!$D$70*MIN(Assumptions!$C$63*$B$2,Assumptions!$B$28)+Assumptions!$E$70*MIN(Assumptions!$C$64*$B$2,Assumptions!$B$28)+Assumptions!$F$70*MIN(Assumptions!$C$65*$B$2,Assumptions!$B$28))*Assumptions!$B$27*E26</f>
        <v>124740</v>
      </c>
      <c r="F30" s="21" t="n">
        <f aca="false">(Assumptions!$D$70*MIN(Assumptions!$C$63*$B$2,Assumptions!$B$28)+Assumptions!$E$70*MIN(Assumptions!$C$64*$B$2,Assumptions!$B$28)+Assumptions!$F$70*MIN(Assumptions!$C$65*$B$2,Assumptions!$B$28))*Assumptions!$B$27*F26</f>
        <v>124740</v>
      </c>
      <c r="G30" s="21" t="n">
        <f aca="false">(Assumptions!$D$70*MIN(Assumptions!$C$63*$B$2,Assumptions!$B$28)+Assumptions!$E$70*MIN(Assumptions!$C$64*$B$2,Assumptions!$B$28)+Assumptions!$F$70*MIN(Assumptions!$C$65*$B$2,Assumptions!$B$28))*Assumptions!$B$27*G26</f>
        <v>124740</v>
      </c>
    </row>
    <row r="31" customFormat="false" ht="15" hidden="false" customHeight="false" outlineLevel="0" collapsed="false">
      <c r="A31" s="9" t="s">
        <v>142</v>
      </c>
      <c r="B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(Assumptions!$D$70*MIN(Assumptions!$C$63*$B$2,Assumptions!$B$28)*Assumptions!$D$63+Assumptions!$E$70*MIN(Assumptions!$C$64*$B$2,Assumptions!$B$28)*Assumptions!$D$64+Assumptions!$F$70*MIN(Assumptions!$C$65*$B$2,Assumptions!$B$28)*Assumptions!$D$65)*Assumptions!$B$27*B26</f>
        <v>0</v>
      </c>
      <c r="C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(Assumptions!$D$70*MIN(Assumptions!$C$63*$B$2,Assumptions!$B$28)*Assumptions!$D$63+Assumptions!$E$70*MIN(Assumptions!$C$64*$B$2,Assumptions!$B$28)*Assumptions!$D$64+Assumptions!$F$70*MIN(Assumptions!$C$65*$B$2,Assumptions!$B$28)*Assumptions!$D$65)*Assumptions!$B$27*C26</f>
        <v>12349260</v>
      </c>
      <c r="D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(Assumptions!$D$70*MIN(Assumptions!$C$63*$B$2,Assumptions!$B$28)*Assumptions!$D$63+Assumptions!$E$70*MIN(Assumptions!$C$64*$B$2,Assumptions!$B$28)*Assumptions!$D$64+Assumptions!$F$70*MIN(Assumptions!$C$65*$B$2,Assumptions!$B$28)*Assumptions!$D$65)*Assumptions!$B$27*D26</f>
        <v>35925120</v>
      </c>
      <c r="E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(Assumptions!$D$70*MIN(Assumptions!$C$63*$B$2,Assumptions!$B$28)*Assumptions!$D$63+Assumptions!$E$70*MIN(Assumptions!$C$64*$B$2,Assumptions!$B$28)*Assumptions!$D$64+Assumptions!$F$70*MIN(Assumptions!$C$65*$B$2,Assumptions!$B$28)*Assumptions!$D$65)*Assumptions!$B$27*E26</f>
        <v>44906400</v>
      </c>
      <c r="F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(Assumptions!$D$70*MIN(Assumptions!$C$63*$B$2,Assumptions!$B$28)*Assumptions!$D$63+Assumptions!$E$70*MIN(Assumptions!$C$64*$B$2,Assumptions!$B$28)*Assumptions!$D$64+Assumptions!$F$70*MIN(Assumptions!$C$65*$B$2,Assumptions!$B$28)*Assumptions!$D$65)*Assumptions!$B$27*F26</f>
        <v>44906400</v>
      </c>
      <c r="G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(Assumptions!$D$70*MIN(Assumptions!$C$63*$B$2,Assumptions!$B$28)*Assumptions!$D$63+Assumptions!$E$70*MIN(Assumptions!$C$64*$B$2,Assumptions!$B$28)*Assumptions!$D$64+Assumptions!$F$70*MIN(Assumptions!$C$65*$B$2,Assumptions!$B$28)*Assumptions!$D$65)*Assumptions!$B$27*G26</f>
        <v>44906400</v>
      </c>
    </row>
    <row r="32" customFormat="false" ht="15" hidden="false" customHeight="false" outlineLevel="0" collapsed="false">
      <c r="A32" s="9" t="s">
        <v>188</v>
      </c>
      <c r="B32" s="23" t="n">
        <f aca="false">Assumptions!$G$70*Assumptions!$B$33*Assumptions!$B$35*$B$2*IF(B24=0,Assumptions!$B$36,IF(B24=1,Assumptions!$B$37,1))*Assumptions!$B$34*12*B25</f>
        <v>0</v>
      </c>
      <c r="C32" s="23" t="n">
        <f aca="false">Assumptions!$G$70*Assumptions!$B$33*Assumptions!$B$35*$B$2*IF(C24=0,Assumptions!$B$36,IF(C24=1,Assumptions!$B$37,1))*Assumptions!$B$34*12*C25</f>
        <v>1725801.61764706</v>
      </c>
      <c r="D32" s="23" t="n">
        <f aca="false">Assumptions!$G$70*Assumptions!$B$33*Assumptions!$B$35*$B$2*IF(D24=0,Assumptions!$B$36,IF(D24=1,Assumptions!$B$37,1))*Assumptions!$B$34*12*D25</f>
        <v>6471756.06617647</v>
      </c>
      <c r="E32" s="23" t="n">
        <f aca="false">Assumptions!$G$70*Assumptions!$B$33*Assumptions!$B$35*$B$2*IF(E24=0,Assumptions!$B$36,IF(E24=1,Assumptions!$B$37,1))*Assumptions!$B$34*12*E25</f>
        <v>8629008.08823529</v>
      </c>
      <c r="F32" s="23" t="n">
        <f aca="false">Assumptions!$G$70*Assumptions!$B$33*Assumptions!$B$35*$B$2*IF(F24=0,Assumptions!$B$36,IF(F24=1,Assumptions!$B$37,1))*Assumptions!$B$34*12*F25</f>
        <v>8629008.08823529</v>
      </c>
      <c r="G32" s="23" t="n">
        <f aca="false">Assumptions!$G$70*Assumptions!$B$33*Assumptions!$B$35*$B$2*IF(G24=0,Assumptions!$B$36,IF(G24=1,Assumptions!$B$37,1))*Assumptions!$B$34*12*G25</f>
        <v>8629008.08823529</v>
      </c>
    </row>
    <row r="33" customFormat="false" ht="15" hidden="false" customHeight="false" outlineLevel="0" collapsed="false">
      <c r="A33" s="9" t="s">
        <v>144</v>
      </c>
      <c r="B33" s="23" t="n">
        <f aca="false">B28*Assumptions!$B$40*B26</f>
        <v>0</v>
      </c>
      <c r="C33" s="23" t="n">
        <f aca="false">C28*Assumptions!$B$40*C26</f>
        <v>1100000</v>
      </c>
      <c r="D33" s="23" t="n">
        <f aca="false">D28*Assumptions!$B$40*D26</f>
        <v>3200000</v>
      </c>
      <c r="E33" s="23" t="n">
        <f aca="false">E28*Assumptions!$B$40*E26</f>
        <v>4000000</v>
      </c>
      <c r="F33" s="23" t="n">
        <f aca="false">F28*Assumptions!$B$40*F26</f>
        <v>4000000</v>
      </c>
      <c r="G33" s="23" t="n">
        <f aca="false">G28*Assumptions!$B$40*G26</f>
        <v>4000000</v>
      </c>
    </row>
    <row r="34" customFormat="false" ht="15" hidden="false" customHeight="false" outlineLevel="0" collapsed="false">
      <c r="A34" s="9" t="s">
        <v>189</v>
      </c>
      <c r="B34" s="23" t="n">
        <f aca="false">B30*Assumptions!$B$45</f>
        <v>0</v>
      </c>
      <c r="C34" s="23" t="n">
        <f aca="false">C30*Assumptions!$B$45</f>
        <v>814708.125</v>
      </c>
      <c r="D34" s="23" t="n">
        <f aca="false">D30*Assumptions!$B$45</f>
        <v>2370060</v>
      </c>
      <c r="E34" s="23" t="n">
        <f aca="false">E30*Assumptions!$B$45</f>
        <v>2962575</v>
      </c>
      <c r="F34" s="23" t="n">
        <f aca="false">F30*Assumptions!$B$45</f>
        <v>2962575</v>
      </c>
      <c r="G34" s="23" t="n">
        <f aca="false">G30*Assumptions!$B$45</f>
        <v>2962575</v>
      </c>
    </row>
    <row r="35" customFormat="false" ht="15" hidden="false" customHeight="false" outlineLevel="0" collapsed="false">
      <c r="A35" s="9" t="s">
        <v>146</v>
      </c>
      <c r="B35" s="23" t="n">
        <f aca="false">B28*Assumptions!$B$41*B25</f>
        <v>0</v>
      </c>
      <c r="C35" s="23" t="n">
        <f aca="false">C28*Assumptions!$B$41*C25</f>
        <v>1250000</v>
      </c>
      <c r="D35" s="23" t="n">
        <f aca="false">D28*Assumptions!$B$41*D25</f>
        <v>2500000</v>
      </c>
      <c r="E35" s="23" t="n">
        <f aca="false">E28*Assumptions!$B$41*E25</f>
        <v>2500000</v>
      </c>
      <c r="F35" s="23" t="n">
        <f aca="false">F28*Assumptions!$B$41*F25</f>
        <v>2500000</v>
      </c>
      <c r="G35" s="23" t="n">
        <f aca="false">G28*Assumptions!$B$41*G25</f>
        <v>2500000</v>
      </c>
    </row>
    <row r="36" customFormat="false" ht="15" hidden="false" customHeight="false" outlineLevel="0" collapsed="false">
      <c r="A36" s="9" t="s">
        <v>150</v>
      </c>
      <c r="B36" s="23" t="n">
        <f aca="false">(Assumptions!$D$70*Assumptions!$B$63*Assumptions!$B$12+Assumptions!$E$70*Assumptions!$B$64*Assumptions!$B$12+Assumptions!$F$70*Assumptions!$B$65*Assumptions!$B$12)*Assumptions!$B$51*B25</f>
        <v>0</v>
      </c>
      <c r="C36" s="23" t="n">
        <f aca="false">(Assumptions!$D$70*Assumptions!$B$63*Assumptions!$B$12+Assumptions!$E$70*Assumptions!$B$64*Assumptions!$B$12+Assumptions!$F$70*Assumptions!$B$65*Assumptions!$B$12)*Assumptions!$B$51*C25</f>
        <v>1295000</v>
      </c>
      <c r="D36" s="23" t="n">
        <f aca="false">(Assumptions!$D$70*Assumptions!$B$63*Assumptions!$B$12+Assumptions!$E$70*Assumptions!$B$64*Assumptions!$B$12+Assumptions!$F$70*Assumptions!$B$65*Assumptions!$B$12)*Assumptions!$B$51*D25</f>
        <v>2590000</v>
      </c>
      <c r="E36" s="23" t="n">
        <f aca="false">(Assumptions!$D$70*Assumptions!$B$63*Assumptions!$B$12+Assumptions!$E$70*Assumptions!$B$64*Assumptions!$B$12+Assumptions!$F$70*Assumptions!$B$65*Assumptions!$B$12)*Assumptions!$B$51*E25</f>
        <v>2590000</v>
      </c>
      <c r="F36" s="23" t="n">
        <f aca="false">(Assumptions!$D$70*Assumptions!$B$63*Assumptions!$B$12+Assumptions!$E$70*Assumptions!$B$64*Assumptions!$B$12+Assumptions!$F$70*Assumptions!$B$65*Assumptions!$B$12)*Assumptions!$B$51*F25</f>
        <v>2590000</v>
      </c>
      <c r="G36" s="23" t="n">
        <f aca="false">(Assumptions!$D$70*Assumptions!$B$63*Assumptions!$B$12+Assumptions!$E$70*Assumptions!$B$64*Assumptions!$B$12+Assumptions!$F$70*Assumptions!$B$65*Assumptions!$B$12)*Assumptions!$B$51*G25</f>
        <v>2590000</v>
      </c>
    </row>
    <row r="37" customFormat="false" ht="15" hidden="false" customHeight="false" outlineLevel="0" collapsed="false">
      <c r="A37" s="9" t="s">
        <v>151</v>
      </c>
      <c r="B37" s="23" t="n">
        <f aca="false">B28*Assumptions!$B$52*B25</f>
        <v>0</v>
      </c>
      <c r="C37" s="23" t="n">
        <f aca="false">C28*Assumptions!$B$52*C25</f>
        <v>1200000</v>
      </c>
      <c r="D37" s="23" t="n">
        <f aca="false">D28*Assumptions!$B$52*D25</f>
        <v>2400000</v>
      </c>
      <c r="E37" s="23" t="n">
        <f aca="false">E28*Assumptions!$B$52*E25</f>
        <v>2400000</v>
      </c>
      <c r="F37" s="23" t="n">
        <f aca="false">F28*Assumptions!$B$52*F25</f>
        <v>2400000</v>
      </c>
      <c r="G37" s="23" t="n">
        <f aca="false">G28*Assumptions!$B$52*G25</f>
        <v>2400000</v>
      </c>
    </row>
    <row r="38" customFormat="false" ht="15" hidden="false" customHeight="false" outlineLevel="0" collapsed="false">
      <c r="A38" s="9" t="s">
        <v>152</v>
      </c>
      <c r="B38" s="23" t="n">
        <f aca="false">Debt!$J$5*Assumptions!$B$50*B25</f>
        <v>0</v>
      </c>
      <c r="C38" s="23" t="n">
        <f aca="false">Debt!$J$5*Assumptions!$B$50*C25</f>
        <v>420875</v>
      </c>
      <c r="D38" s="23" t="n">
        <f aca="false">Debt!$J$5*Assumptions!$B$50*D25</f>
        <v>841750</v>
      </c>
      <c r="E38" s="23" t="n">
        <f aca="false">Debt!$J$5*Assumptions!$B$50*E25</f>
        <v>841750</v>
      </c>
      <c r="F38" s="23" t="n">
        <f aca="false">Debt!$J$5*Assumptions!$B$50*F25</f>
        <v>841750</v>
      </c>
      <c r="G38" s="23" t="n">
        <f aca="false">Debt!$J$5*Assumptions!$B$50*G25</f>
        <v>841750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4" t="s">
        <v>124</v>
      </c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9" t="s">
        <v>181</v>
      </c>
      <c r="B41" s="21" t="n">
        <f aca="false">2027-Assumptions!$B$71</f>
        <v>-2</v>
      </c>
      <c r="C41" s="21" t="n">
        <f aca="false">2028-Assumptions!$B$71</f>
        <v>-1</v>
      </c>
      <c r="D41" s="21" t="n">
        <f aca="false">2029-Assumptions!$B$71</f>
        <v>0</v>
      </c>
      <c r="E41" s="21" t="n">
        <f aca="false">2030-Assumptions!$B$71</f>
        <v>1</v>
      </c>
      <c r="F41" s="21" t="n">
        <f aca="false">2031-Assumptions!$B$71</f>
        <v>2</v>
      </c>
      <c r="G41" s="21" t="n">
        <f aca="false">2032-Assumptions!$B$71</f>
        <v>3</v>
      </c>
    </row>
    <row r="42" customFormat="false" ht="15" hidden="false" customHeight="false" outlineLevel="0" collapsed="false">
      <c r="A42" s="9" t="s">
        <v>182</v>
      </c>
      <c r="B42" s="18" t="n">
        <f aca="false">IF(B41&lt;0,0,IF(B41=0,Assumptions!$C$71,1))</f>
        <v>0</v>
      </c>
      <c r="C42" s="18" t="n">
        <f aca="false">IF(C41&lt;0,0,IF(C41=0,Assumptions!$C$71,1))</f>
        <v>0</v>
      </c>
      <c r="D42" s="18" t="n">
        <f aca="false">IF(D41&lt;0,0,IF(D41=0,Assumptions!$C$71,1))</f>
        <v>0.6</v>
      </c>
      <c r="E42" s="18" t="n">
        <f aca="false">IF(E41&lt;0,0,IF(E41=0,Assumptions!$C$71,1))</f>
        <v>1</v>
      </c>
      <c r="F42" s="18" t="n">
        <f aca="false">IF(F41&lt;0,0,IF(F41=0,Assumptions!$C$71,1))</f>
        <v>1</v>
      </c>
      <c r="G42" s="18" t="n">
        <f aca="false">IF(G41&lt;0,0,IF(G41=0,Assumptions!$C$71,1))</f>
        <v>1</v>
      </c>
    </row>
    <row r="43" customFormat="false" ht="15" hidden="false" customHeight="false" outlineLevel="0" collapsed="false">
      <c r="A43" s="9" t="s">
        <v>183</v>
      </c>
      <c r="B43" s="18" t="n">
        <f aca="false">B42*IF(B41=0,Assumptions!$B$56,IF(B41=1,Assumptions!$B$57,1))</f>
        <v>0</v>
      </c>
      <c r="C43" s="18" t="n">
        <f aca="false">C42*IF(C41=0,Assumptions!$B$56,IF(C41=1,Assumptions!$B$57,1))</f>
        <v>0</v>
      </c>
      <c r="D43" s="18" t="n">
        <f aca="false">D42*IF(D41=0,Assumptions!$B$56,IF(D41=1,Assumptions!$B$57,1))</f>
        <v>0.33</v>
      </c>
      <c r="E43" s="18" t="n">
        <f aca="false">E42*IF(E41=0,Assumptions!$B$56,IF(E41=1,Assumptions!$B$57,1))</f>
        <v>0.8</v>
      </c>
      <c r="F43" s="18" t="n">
        <f aca="false">F42*IF(F41=0,Assumptions!$B$56,IF(F41=1,Assumptions!$B$57,1))</f>
        <v>1</v>
      </c>
      <c r="G43" s="18" t="n">
        <f aca="false">G42*IF(G41=0,Assumptions!$B$56,IF(G41=1,Assumptions!$B$57,1))</f>
        <v>1</v>
      </c>
    </row>
    <row r="44" customFormat="false" ht="15" hidden="false" customHeight="false" outlineLevel="0" collapsed="false">
      <c r="A44" s="9" t="s">
        <v>184</v>
      </c>
      <c r="B44" s="23" t="n">
        <f aca="false">IF(B41=0,Debt!$P$5,0)</f>
        <v>0</v>
      </c>
      <c r="C44" s="23" t="n">
        <f aca="false">IF(C41=0,Debt!$P$5,0)</f>
        <v>0</v>
      </c>
      <c r="D44" s="23" t="n">
        <f aca="false">IF(D41=0,Debt!$P$5,0)</f>
        <v>37999000</v>
      </c>
      <c r="E44" s="23" t="n">
        <f aca="false">IF(E41=0,Debt!$P$5,0)</f>
        <v>0</v>
      </c>
      <c r="F44" s="23" t="n">
        <f aca="false">IF(F41=0,Debt!$P$5,0)</f>
        <v>0</v>
      </c>
      <c r="G44" s="23" t="n">
        <f aca="false">IF(G41=0,Debt!$P$5,0)</f>
        <v>0</v>
      </c>
    </row>
    <row r="45" customFormat="false" ht="15" hidden="false" customHeight="false" outlineLevel="0" collapsed="false">
      <c r="A45" s="9" t="s">
        <v>185</v>
      </c>
      <c r="B45" s="21" t="n">
        <f aca="false">IF(B41&gt;=0,SUM(Assumptions!$D$71:$F$71),0)</f>
        <v>0</v>
      </c>
      <c r="C45" s="21" t="n">
        <f aca="false">IF(C41&gt;=0,SUM(Assumptions!$D$71:$F$71),0)</f>
        <v>0</v>
      </c>
      <c r="D45" s="21" t="n">
        <f aca="false">IF(D41&gt;=0,SUM(Assumptions!$D$71:$F$71),0)</f>
        <v>60</v>
      </c>
      <c r="E45" s="21" t="n">
        <f aca="false">IF(E41&gt;=0,SUM(Assumptions!$D$71:$F$71),0)</f>
        <v>60</v>
      </c>
      <c r="F45" s="21" t="n">
        <f aca="false">IF(F41&gt;=0,SUM(Assumptions!$D$71:$F$71),0)</f>
        <v>60</v>
      </c>
      <c r="G45" s="21" t="n">
        <f aca="false">IF(G41&gt;=0,SUM(Assumptions!$D$71:$F$71),0)</f>
        <v>60</v>
      </c>
    </row>
    <row r="46" customFormat="false" ht="15" hidden="false" customHeight="false" outlineLevel="0" collapsed="false">
      <c r="A46" s="9" t="s">
        <v>186</v>
      </c>
      <c r="B46" s="21" t="n">
        <f aca="false">IF(B41&gt;=0,Assumptions!$G$71,0)</f>
        <v>0</v>
      </c>
      <c r="C46" s="21" t="n">
        <f aca="false">IF(C41&gt;=0,Assumptions!$G$71,0)</f>
        <v>0</v>
      </c>
      <c r="D46" s="21" t="n">
        <f aca="false">IF(D41&gt;=0,Assumptions!$G$71,0)</f>
        <v>60</v>
      </c>
      <c r="E46" s="21" t="n">
        <f aca="false">IF(E41&gt;=0,Assumptions!$G$71,0)</f>
        <v>60</v>
      </c>
      <c r="F46" s="21" t="n">
        <f aca="false">IF(F41&gt;=0,Assumptions!$G$71,0)</f>
        <v>60</v>
      </c>
      <c r="G46" s="21" t="n">
        <f aca="false">IF(G41&gt;=0,Assumptions!$G$71,0)</f>
        <v>60</v>
      </c>
    </row>
    <row r="47" customFormat="false" ht="15" hidden="false" customHeight="false" outlineLevel="0" collapsed="false">
      <c r="A47" s="9" t="s">
        <v>187</v>
      </c>
      <c r="B47" s="21" t="n">
        <f aca="false">(Assumptions!$D$71*MIN(Assumptions!$C$63*$B$2,Assumptions!$B$28)+Assumptions!$E$71*MIN(Assumptions!$C$64*$B$2,Assumptions!$B$28)+Assumptions!$F$71*MIN(Assumptions!$C$65*$B$2,Assumptions!$B$28))*Assumptions!$B$27*B43</f>
        <v>0</v>
      </c>
      <c r="C47" s="21" t="n">
        <f aca="false">(Assumptions!$D$71*MIN(Assumptions!$C$63*$B$2,Assumptions!$B$28)+Assumptions!$E$71*MIN(Assumptions!$C$64*$B$2,Assumptions!$B$28)+Assumptions!$F$71*MIN(Assumptions!$C$65*$B$2,Assumptions!$B$28))*Assumptions!$B$27*C43</f>
        <v>0</v>
      </c>
      <c r="D47" s="21" t="n">
        <f aca="false">(Assumptions!$D$71*MIN(Assumptions!$C$63*$B$2,Assumptions!$B$28)+Assumptions!$E$71*MIN(Assumptions!$C$64*$B$2,Assumptions!$B$28)+Assumptions!$F$71*MIN(Assumptions!$C$65*$B$2,Assumptions!$B$28))*Assumptions!$B$27*D43</f>
        <v>23201.64</v>
      </c>
      <c r="E47" s="21" t="n">
        <f aca="false">(Assumptions!$D$71*MIN(Assumptions!$C$63*$B$2,Assumptions!$B$28)+Assumptions!$E$71*MIN(Assumptions!$C$64*$B$2,Assumptions!$B$28)+Assumptions!$F$71*MIN(Assumptions!$C$65*$B$2,Assumptions!$B$28))*Assumptions!$B$27*E43</f>
        <v>56246.4</v>
      </c>
      <c r="F47" s="21" t="n">
        <f aca="false">(Assumptions!$D$71*MIN(Assumptions!$C$63*$B$2,Assumptions!$B$28)+Assumptions!$E$71*MIN(Assumptions!$C$64*$B$2,Assumptions!$B$28)+Assumptions!$F$71*MIN(Assumptions!$C$65*$B$2,Assumptions!$B$28))*Assumptions!$B$27*F43</f>
        <v>70308</v>
      </c>
      <c r="G47" s="21" t="n">
        <f aca="false">(Assumptions!$D$71*MIN(Assumptions!$C$63*$B$2,Assumptions!$B$28)+Assumptions!$E$71*MIN(Assumptions!$C$64*$B$2,Assumptions!$B$28)+Assumptions!$F$71*MIN(Assumptions!$C$65*$B$2,Assumptions!$B$28))*Assumptions!$B$27*G43</f>
        <v>70308</v>
      </c>
    </row>
    <row r="48" customFormat="false" ht="15" hidden="false" customHeight="false" outlineLevel="0" collapsed="false">
      <c r="A48" s="9" t="s">
        <v>142</v>
      </c>
      <c r="B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(Assumptions!$D$71*MIN(Assumptions!$C$63*$B$2,Assumptions!$B$28)*Assumptions!$D$63+Assumptions!$E$71*MIN(Assumptions!$C$64*$B$2,Assumptions!$B$28)*Assumptions!$D$64+Assumptions!$F$71*MIN(Assumptions!$C$65*$B$2,Assumptions!$B$28)*Assumptions!$D$65)*Assumptions!$B$27*B43</f>
        <v>0</v>
      </c>
      <c r="C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(Assumptions!$D$71*MIN(Assumptions!$C$63*$B$2,Assumptions!$B$28)*Assumptions!$D$63+Assumptions!$E$71*MIN(Assumptions!$C$64*$B$2,Assumptions!$B$28)*Assumptions!$D$64+Assumptions!$F$71*MIN(Assumptions!$C$65*$B$2,Assumptions!$B$28)*Assumptions!$D$65)*Assumptions!$B$27*C43</f>
        <v>0</v>
      </c>
      <c r="D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(Assumptions!$D$71*MIN(Assumptions!$C$63*$B$2,Assumptions!$B$28)*Assumptions!$D$63+Assumptions!$E$71*MIN(Assumptions!$C$64*$B$2,Assumptions!$B$28)*Assumptions!$D$64+Assumptions!$F$71*MIN(Assumptions!$C$65*$B$2,Assumptions!$B$28)*Assumptions!$D$65)*Assumptions!$B$27*D43</f>
        <v>6556334.4</v>
      </c>
      <c r="E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(Assumptions!$D$71*MIN(Assumptions!$C$63*$B$2,Assumptions!$B$28)*Assumptions!$D$63+Assumptions!$E$71*MIN(Assumptions!$C$64*$B$2,Assumptions!$B$28)*Assumptions!$D$64+Assumptions!$F$71*MIN(Assumptions!$C$65*$B$2,Assumptions!$B$28)*Assumptions!$D$65)*Assumptions!$B$27*E43</f>
        <v>15894144</v>
      </c>
      <c r="F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(Assumptions!$D$71*MIN(Assumptions!$C$63*$B$2,Assumptions!$B$28)*Assumptions!$D$63+Assumptions!$E$71*MIN(Assumptions!$C$64*$B$2,Assumptions!$B$28)*Assumptions!$D$64+Assumptions!$F$71*MIN(Assumptions!$C$65*$B$2,Assumptions!$B$28)*Assumptions!$D$65)*Assumptions!$B$27*F43</f>
        <v>19867680</v>
      </c>
      <c r="G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(Assumptions!$D$71*MIN(Assumptions!$C$63*$B$2,Assumptions!$B$28)*Assumptions!$D$63+Assumptions!$E$71*MIN(Assumptions!$C$64*$B$2,Assumptions!$B$28)*Assumptions!$D$64+Assumptions!$F$71*MIN(Assumptions!$C$65*$B$2,Assumptions!$B$28)*Assumptions!$D$65)*Assumptions!$B$27*G43</f>
        <v>19867680</v>
      </c>
    </row>
    <row r="49" customFormat="false" ht="15" hidden="false" customHeight="false" outlineLevel="0" collapsed="false">
      <c r="A49" s="9" t="s">
        <v>188</v>
      </c>
      <c r="B49" s="23" t="n">
        <f aca="false">Assumptions!$G$71*Assumptions!$B$33*Assumptions!$B$35*$B$2*IF(B41=0,Assumptions!$B$36,IF(B41=1,Assumptions!$B$37,1))*Assumptions!$B$34*12*B42</f>
        <v>0</v>
      </c>
      <c r="C49" s="23" t="n">
        <f aca="false">Assumptions!$G$71*Assumptions!$B$33*Assumptions!$B$35*$B$2*IF(C41=0,Assumptions!$B$36,IF(C41=1,Assumptions!$B$37,1))*Assumptions!$B$34*12*C42</f>
        <v>0</v>
      </c>
      <c r="D49" s="23" t="n">
        <f aca="false">Assumptions!$G$71*Assumptions!$B$33*Assumptions!$B$35*$B$2*IF(D41=0,Assumptions!$B$36,IF(D41=1,Assumptions!$B$37,1))*Assumptions!$B$34*12*D42</f>
        <v>2485154.32941176</v>
      </c>
      <c r="E49" s="23" t="n">
        <f aca="false">Assumptions!$G$71*Assumptions!$B$33*Assumptions!$B$35*$B$2*IF(E41=0,Assumptions!$B$36,IF(E41=1,Assumptions!$B$37,1))*Assumptions!$B$34*12*E42</f>
        <v>7766107.27941177</v>
      </c>
      <c r="F49" s="23" t="n">
        <f aca="false">Assumptions!$G$71*Assumptions!$B$33*Assumptions!$B$35*$B$2*IF(F41=0,Assumptions!$B$36,IF(F41=1,Assumptions!$B$37,1))*Assumptions!$B$34*12*F42</f>
        <v>10354809.7058824</v>
      </c>
      <c r="G49" s="23" t="n">
        <f aca="false">Assumptions!$G$71*Assumptions!$B$33*Assumptions!$B$35*$B$2*IF(G41=0,Assumptions!$B$36,IF(G41=1,Assumptions!$B$37,1))*Assumptions!$B$34*12*G42</f>
        <v>10354809.7058824</v>
      </c>
    </row>
    <row r="50" customFormat="false" ht="15" hidden="false" customHeight="false" outlineLevel="0" collapsed="false">
      <c r="A50" s="9" t="s">
        <v>144</v>
      </c>
      <c r="B50" s="23" t="n">
        <f aca="false">B45*Assumptions!$B$40*B43</f>
        <v>0</v>
      </c>
      <c r="C50" s="23" t="n">
        <f aca="false">C45*Assumptions!$B$40*C43</f>
        <v>0</v>
      </c>
      <c r="D50" s="23" t="n">
        <f aca="false">D45*Assumptions!$B$40*D43</f>
        <v>792000</v>
      </c>
      <c r="E50" s="23" t="n">
        <f aca="false">E45*Assumptions!$B$40*E43</f>
        <v>1920000</v>
      </c>
      <c r="F50" s="23" t="n">
        <f aca="false">F45*Assumptions!$B$40*F43</f>
        <v>2400000</v>
      </c>
      <c r="G50" s="23" t="n">
        <f aca="false">G45*Assumptions!$B$40*G43</f>
        <v>2400000</v>
      </c>
    </row>
    <row r="51" customFormat="false" ht="15" hidden="false" customHeight="false" outlineLevel="0" collapsed="false">
      <c r="A51" s="9" t="s">
        <v>189</v>
      </c>
      <c r="B51" s="23" t="n">
        <f aca="false">B47*Assumptions!$B$45</f>
        <v>0</v>
      </c>
      <c r="C51" s="23" t="n">
        <f aca="false">C47*Assumptions!$B$45</f>
        <v>0</v>
      </c>
      <c r="D51" s="23" t="n">
        <f aca="false">D47*Assumptions!$B$45</f>
        <v>551038.95</v>
      </c>
      <c r="E51" s="23" t="n">
        <f aca="false">E47*Assumptions!$B$45</f>
        <v>1335852</v>
      </c>
      <c r="F51" s="23" t="n">
        <f aca="false">F47*Assumptions!$B$45</f>
        <v>1669815</v>
      </c>
      <c r="G51" s="23" t="n">
        <f aca="false">G47*Assumptions!$B$45</f>
        <v>1669815</v>
      </c>
    </row>
    <row r="52" customFormat="false" ht="15" hidden="false" customHeight="false" outlineLevel="0" collapsed="false">
      <c r="A52" s="9" t="s">
        <v>146</v>
      </c>
      <c r="B52" s="23" t="n">
        <f aca="false">B45*Assumptions!$B$41*B42</f>
        <v>0</v>
      </c>
      <c r="C52" s="23" t="n">
        <f aca="false">C45*Assumptions!$B$41*C42</f>
        <v>0</v>
      </c>
      <c r="D52" s="23" t="n">
        <f aca="false">D45*Assumptions!$B$41*D42</f>
        <v>900000</v>
      </c>
      <c r="E52" s="23" t="n">
        <f aca="false">E45*Assumptions!$B$41*E42</f>
        <v>1500000</v>
      </c>
      <c r="F52" s="23" t="n">
        <f aca="false">F45*Assumptions!$B$41*F42</f>
        <v>1500000</v>
      </c>
      <c r="G52" s="23" t="n">
        <f aca="false">G45*Assumptions!$B$41*G42</f>
        <v>1500000</v>
      </c>
    </row>
    <row r="53" customFormat="false" ht="15" hidden="false" customHeight="false" outlineLevel="0" collapsed="false">
      <c r="A53" s="9" t="s">
        <v>150</v>
      </c>
      <c r="B53" s="23" t="n">
        <f aca="false">(Assumptions!$D$71*Assumptions!$B$63*Assumptions!$B$12+Assumptions!$E$71*Assumptions!$B$64*Assumptions!$B$12+Assumptions!$F$71*Assumptions!$B$65*Assumptions!$B$12)*Assumptions!$B$51*B42</f>
        <v>0</v>
      </c>
      <c r="C53" s="23" t="n">
        <f aca="false">(Assumptions!$D$71*Assumptions!$B$63*Assumptions!$B$12+Assumptions!$E$71*Assumptions!$B$64*Assumptions!$B$12+Assumptions!$F$71*Assumptions!$B$65*Assumptions!$B$12)*Assumptions!$B$51*C42</f>
        <v>0</v>
      </c>
      <c r="D53" s="23" t="n">
        <f aca="false">(Assumptions!$D$71*Assumptions!$B$63*Assumptions!$B$12+Assumptions!$E$71*Assumptions!$B$64*Assumptions!$B$12+Assumptions!$F$71*Assumptions!$B$65*Assumptions!$B$12)*Assumptions!$B$51*D42</f>
        <v>701520</v>
      </c>
      <c r="E53" s="23" t="n">
        <f aca="false">(Assumptions!$D$71*Assumptions!$B$63*Assumptions!$B$12+Assumptions!$E$71*Assumptions!$B$64*Assumptions!$B$12+Assumptions!$F$71*Assumptions!$B$65*Assumptions!$B$12)*Assumptions!$B$51*E42</f>
        <v>1169200</v>
      </c>
      <c r="F53" s="23" t="n">
        <f aca="false">(Assumptions!$D$71*Assumptions!$B$63*Assumptions!$B$12+Assumptions!$E$71*Assumptions!$B$64*Assumptions!$B$12+Assumptions!$F$71*Assumptions!$B$65*Assumptions!$B$12)*Assumptions!$B$51*F42</f>
        <v>1169200</v>
      </c>
      <c r="G53" s="23" t="n">
        <f aca="false">(Assumptions!$D$71*Assumptions!$B$63*Assumptions!$B$12+Assumptions!$E$71*Assumptions!$B$64*Assumptions!$B$12+Assumptions!$F$71*Assumptions!$B$65*Assumptions!$B$12)*Assumptions!$B$51*G42</f>
        <v>1169200</v>
      </c>
    </row>
    <row r="54" customFormat="false" ht="15" hidden="false" customHeight="false" outlineLevel="0" collapsed="false">
      <c r="A54" s="9" t="s">
        <v>151</v>
      </c>
      <c r="B54" s="23" t="n">
        <f aca="false">B45*Assumptions!$B$52*B42</f>
        <v>0</v>
      </c>
      <c r="C54" s="23" t="n">
        <f aca="false">C45*Assumptions!$B$52*C42</f>
        <v>0</v>
      </c>
      <c r="D54" s="23" t="n">
        <f aca="false">D45*Assumptions!$B$52*D42</f>
        <v>864000</v>
      </c>
      <c r="E54" s="23" t="n">
        <f aca="false">E45*Assumptions!$B$52*E42</f>
        <v>1440000</v>
      </c>
      <c r="F54" s="23" t="n">
        <f aca="false">F45*Assumptions!$B$52*F42</f>
        <v>1440000</v>
      </c>
      <c r="G54" s="23" t="n">
        <f aca="false">G45*Assumptions!$B$52*G42</f>
        <v>1440000</v>
      </c>
    </row>
    <row r="55" customFormat="false" ht="15" hidden="false" customHeight="false" outlineLevel="0" collapsed="false">
      <c r="A55" s="9" t="s">
        <v>152</v>
      </c>
      <c r="B55" s="23" t="n">
        <f aca="false">Debt!$P$5*Assumptions!$B$50*B42</f>
        <v>0</v>
      </c>
      <c r="C55" s="23" t="n">
        <f aca="false">Debt!$P$5*Assumptions!$B$50*C42</f>
        <v>0</v>
      </c>
      <c r="D55" s="23" t="n">
        <f aca="false">Debt!$P$5*Assumptions!$B$50*D42</f>
        <v>227994</v>
      </c>
      <c r="E55" s="23" t="n">
        <f aca="false">Debt!$P$5*Assumptions!$B$50*E42</f>
        <v>379990</v>
      </c>
      <c r="F55" s="23" t="n">
        <f aca="false">Debt!$P$5*Assumptions!$B$50*F42</f>
        <v>379990</v>
      </c>
      <c r="G55" s="23" t="n">
        <f aca="false">Debt!$P$5*Assumptions!$B$50*G42</f>
        <v>379990</v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" hidden="false" customHeight="false" outlineLevel="0" collapsed="false">
      <c r="A57" s="4" t="s">
        <v>190</v>
      </c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12" t="s">
        <v>191</v>
      </c>
      <c r="B58" s="31" t="n">
        <f aca="false">B11+B28+B45</f>
        <v>40</v>
      </c>
      <c r="C58" s="31" t="n">
        <f aca="false">C11+C28+C45</f>
        <v>140</v>
      </c>
      <c r="D58" s="31" t="n">
        <f aca="false">D11+D28+D45</f>
        <v>200</v>
      </c>
      <c r="E58" s="31" t="n">
        <f aca="false">E11+E28+E45</f>
        <v>200</v>
      </c>
      <c r="F58" s="31" t="n">
        <f aca="false">F11+F28+F45</f>
        <v>200</v>
      </c>
      <c r="G58" s="31" t="n">
        <f aca="false">G11+G28+G45</f>
        <v>200</v>
      </c>
    </row>
    <row r="59" customFormat="false" ht="15" hidden="false" customHeight="false" outlineLevel="0" collapsed="false">
      <c r="A59" s="9" t="s">
        <v>192</v>
      </c>
      <c r="B59" s="21" t="n">
        <f aca="false">B12+B29+B46</f>
        <v>20</v>
      </c>
      <c r="C59" s="21" t="n">
        <f aca="false">C12+C29+C46</f>
        <v>70</v>
      </c>
      <c r="D59" s="21" t="n">
        <f aca="false">D12+D29+D46</f>
        <v>130</v>
      </c>
      <c r="E59" s="21" t="n">
        <f aca="false">E12+E29+E46</f>
        <v>130</v>
      </c>
      <c r="F59" s="21" t="n">
        <f aca="false">F12+F29+F46</f>
        <v>130</v>
      </c>
      <c r="G59" s="21" t="n">
        <f aca="false">G12+G29+G46</f>
        <v>130</v>
      </c>
    </row>
    <row r="60" customFormat="false" ht="15" hidden="false" customHeight="false" outlineLevel="0" collapsed="false">
      <c r="A60" s="9" t="s">
        <v>193</v>
      </c>
      <c r="B60" s="21" t="n">
        <f aca="false">B13+B30+B47</f>
        <v>16632</v>
      </c>
      <c r="C60" s="21" t="n">
        <f aca="false">C13+C30+C47</f>
        <v>82687.5</v>
      </c>
      <c r="D60" s="21" t="n">
        <f aca="false">D13+D30+D47</f>
        <v>183473.64</v>
      </c>
      <c r="E60" s="21" t="n">
        <f aca="false">E13+E30+E47</f>
        <v>241466.4</v>
      </c>
      <c r="F60" s="21" t="n">
        <f aca="false">F13+F30+F47</f>
        <v>255528</v>
      </c>
      <c r="G60" s="21" t="n">
        <f aca="false">G13+G30+G47</f>
        <v>255528</v>
      </c>
    </row>
    <row r="61" customFormat="false" ht="15" hidden="false" customHeight="false" outlineLevel="0" collapsed="false">
      <c r="A61" s="9" t="s">
        <v>11</v>
      </c>
      <c r="B61" s="22" t="n">
        <f aca="false">IF(B58=0,0,B60/B58/Assumptions!$B$26)</f>
        <v>1.155</v>
      </c>
      <c r="C61" s="22" t="n">
        <f aca="false">IF(C58=0,0,C60/C58/Assumptions!$B$26)</f>
        <v>1.640625</v>
      </c>
      <c r="D61" s="22" t="n">
        <f aca="false">IF(D58=0,0,D60/D58/Assumptions!$B$26)</f>
        <v>2.548245</v>
      </c>
      <c r="E61" s="22" t="n">
        <f aca="false">IF(E58=0,0,E60/E58/Assumptions!$B$26)</f>
        <v>3.3537</v>
      </c>
      <c r="F61" s="22" t="n">
        <f aca="false">IF(F58=0,0,F60/F58/Assumptions!$B$26)</f>
        <v>3.549</v>
      </c>
      <c r="G61" s="22" t="n">
        <f aca="false">IF(G58=0,0,G60/G58/Assumptions!$B$26)</f>
        <v>3.549</v>
      </c>
    </row>
    <row r="62" customFormat="false" ht="15" hidden="false" customHeight="false" outlineLevel="0" collapsed="false">
      <c r="A62" s="9" t="s">
        <v>142</v>
      </c>
      <c r="B62" s="23" t="n">
        <f aca="false">B14+B31+B48</f>
        <v>8648640</v>
      </c>
      <c r="C62" s="23" t="n">
        <f aca="false">C14+C31+C48</f>
        <v>37508940</v>
      </c>
      <c r="D62" s="23" t="n">
        <f aca="false">D14+D31+D48</f>
        <v>73931054.4</v>
      </c>
      <c r="E62" s="23" t="n">
        <f aca="false">E14+E31+E48</f>
        <v>92250144</v>
      </c>
      <c r="F62" s="23" t="n">
        <f aca="false">F14+F31+F48</f>
        <v>96223680</v>
      </c>
      <c r="G62" s="23" t="n">
        <f aca="false">G14+G31+G48</f>
        <v>96223680</v>
      </c>
    </row>
    <row r="63" customFormat="false" ht="15" hidden="false" customHeight="false" outlineLevel="0" collapsed="false">
      <c r="A63" s="9" t="s">
        <v>194</v>
      </c>
      <c r="B63" s="23" t="n">
        <f aca="false">B15+B32+B49</f>
        <v>690320.647058823</v>
      </c>
      <c r="C63" s="23" t="n">
        <f aca="false">C15+C32+C49</f>
        <v>4314504.04411765</v>
      </c>
      <c r="D63" s="23" t="n">
        <f aca="false">D15+D32+D49</f>
        <v>12408513.6308824</v>
      </c>
      <c r="E63" s="23" t="n">
        <f aca="false">E15+E32+E49</f>
        <v>19846718.6029412</v>
      </c>
      <c r="F63" s="23" t="n">
        <f aca="false">F15+F32+F49</f>
        <v>22435421.0294118</v>
      </c>
      <c r="G63" s="23" t="n">
        <f aca="false">G15+G32+G49</f>
        <v>22435421.0294118</v>
      </c>
    </row>
    <row r="64" customFormat="false" ht="15" hidden="false" customHeight="false" outlineLevel="0" collapsed="false">
      <c r="A64" s="9" t="s">
        <v>144</v>
      </c>
      <c r="B64" s="23" t="n">
        <f aca="false">B16+B33+B50</f>
        <v>440000</v>
      </c>
      <c r="C64" s="23" t="n">
        <f aca="false">C16+C33+C50</f>
        <v>2380000</v>
      </c>
      <c r="D64" s="23" t="n">
        <f aca="false">D16+D33+D50</f>
        <v>5592000</v>
      </c>
      <c r="E64" s="23" t="n">
        <f aca="false">E16+E33+E50</f>
        <v>7520000</v>
      </c>
      <c r="F64" s="23" t="n">
        <f aca="false">F16+F33+F50</f>
        <v>8000000</v>
      </c>
      <c r="G64" s="23" t="n">
        <f aca="false">G16+G33+G50</f>
        <v>8000000</v>
      </c>
    </row>
    <row r="65" customFormat="false" ht="15" hidden="false" customHeight="false" outlineLevel="0" collapsed="false">
      <c r="A65" s="9" t="s">
        <v>145</v>
      </c>
      <c r="B65" s="23" t="n">
        <f aca="false">B17+B34+B51</f>
        <v>395010</v>
      </c>
      <c r="C65" s="23" t="n">
        <f aca="false">C17+C34+C51</f>
        <v>1963828.125</v>
      </c>
      <c r="D65" s="23" t="n">
        <f aca="false">D17+D34+D51</f>
        <v>4357498.95</v>
      </c>
      <c r="E65" s="23" t="n">
        <f aca="false">E17+E34+E51</f>
        <v>5734827</v>
      </c>
      <c r="F65" s="23" t="n">
        <f aca="false">F17+F34+F51</f>
        <v>6068790</v>
      </c>
      <c r="G65" s="23" t="n">
        <f aca="false">G17+G34+G51</f>
        <v>6068790</v>
      </c>
    </row>
    <row r="66" customFormat="false" ht="15" hidden="false" customHeight="false" outlineLevel="0" collapsed="false">
      <c r="A66" s="9" t="s">
        <v>146</v>
      </c>
      <c r="B66" s="23" t="n">
        <f aca="false">B18+B35+B52</f>
        <v>500000</v>
      </c>
      <c r="C66" s="23" t="n">
        <f aca="false">C18+C35+C52</f>
        <v>2250000</v>
      </c>
      <c r="D66" s="23" t="n">
        <f aca="false">D18+D35+D52</f>
        <v>4400000</v>
      </c>
      <c r="E66" s="23" t="n">
        <f aca="false">E18+E35+E52</f>
        <v>5000000</v>
      </c>
      <c r="F66" s="23" t="n">
        <f aca="false">F18+F35+F52</f>
        <v>5000000</v>
      </c>
      <c r="G66" s="23" t="n">
        <f aca="false">G18+G35+G52</f>
        <v>5000000</v>
      </c>
    </row>
    <row r="67" customFormat="false" ht="15" hidden="false" customHeight="false" outlineLevel="0" collapsed="false">
      <c r="A67" s="9" t="s">
        <v>195</v>
      </c>
      <c r="B67" s="32" t="n">
        <f aca="false">B62+B63+B64+B65</f>
        <v>10173970.6470588</v>
      </c>
      <c r="C67" s="32" t="n">
        <f aca="false">C62+C63+C64+C65</f>
        <v>46167272.1691176</v>
      </c>
      <c r="D67" s="32" t="n">
        <f aca="false">D62+D63+D64+D65</f>
        <v>96289066.9808824</v>
      </c>
      <c r="E67" s="32" t="n">
        <f aca="false">E62+E63+E64+E65</f>
        <v>125351689.602941</v>
      </c>
      <c r="F67" s="32" t="n">
        <f aca="false">F62+F63+F64+F65</f>
        <v>132727891.029412</v>
      </c>
      <c r="G67" s="32" t="n">
        <f aca="false">G62+G63+G64+G65</f>
        <v>132727891.029412</v>
      </c>
    </row>
    <row r="68" customFormat="false" ht="15" hidden="false" customHeight="false" outlineLevel="0" collapsed="false">
      <c r="A68" s="12" t="s">
        <v>12</v>
      </c>
      <c r="B68" s="30" t="n">
        <f aca="false">B67+B66</f>
        <v>10673970.6470588</v>
      </c>
      <c r="C68" s="30" t="n">
        <f aca="false">C67+C66</f>
        <v>48417272.1691176</v>
      </c>
      <c r="D68" s="30" t="n">
        <f aca="false">D67+D66</f>
        <v>100689066.980882</v>
      </c>
      <c r="E68" s="30" t="n">
        <f aca="false">E67+E66</f>
        <v>130351689.602941</v>
      </c>
      <c r="F68" s="30" t="n">
        <f aca="false">F67+F66</f>
        <v>137727891.029412</v>
      </c>
      <c r="G68" s="30" t="n">
        <f aca="false">G67+G66</f>
        <v>137727891.029412</v>
      </c>
    </row>
    <row r="69" customFormat="false" ht="15" hidden="false" customHeight="false" outlineLevel="0" collapsed="false">
      <c r="A69" s="9" t="s">
        <v>147</v>
      </c>
      <c r="B69" s="23" t="n">
        <f aca="false">-B67*Assumptions!$B$24</f>
        <v>-2034794.12941177</v>
      </c>
      <c r="C69" s="23" t="n">
        <f aca="false">-C67*Assumptions!$B$24</f>
        <v>-9233454.43382353</v>
      </c>
      <c r="D69" s="23" t="n">
        <f aca="false">-D67*Assumptions!$B$24</f>
        <v>-19257813.3961765</v>
      </c>
      <c r="E69" s="23" t="n">
        <f aca="false">-E67*Assumptions!$B$24</f>
        <v>-25070337.9205882</v>
      </c>
      <c r="F69" s="23" t="n">
        <f aca="false">-F67*Assumptions!$B$24</f>
        <v>-26545578.2058824</v>
      </c>
      <c r="G69" s="23" t="n">
        <f aca="false">-G67*Assumptions!$B$24</f>
        <v>-26545578.2058824</v>
      </c>
    </row>
    <row r="70" customFormat="false" ht="15" hidden="false" customHeight="false" outlineLevel="0" collapsed="false">
      <c r="A70" s="9" t="s">
        <v>148</v>
      </c>
      <c r="B70" s="23" t="n">
        <f aca="false">-B67*Assumptions!$B$48</f>
        <v>-254349.266176471</v>
      </c>
      <c r="C70" s="23" t="n">
        <f aca="false">-C67*Assumptions!$B$48</f>
        <v>-1154181.80422794</v>
      </c>
      <c r="D70" s="23" t="n">
        <f aca="false">-D67*Assumptions!$B$48</f>
        <v>-2407226.67452206</v>
      </c>
      <c r="E70" s="23" t="n">
        <f aca="false">-E67*Assumptions!$B$48</f>
        <v>-3133792.24007353</v>
      </c>
      <c r="F70" s="23" t="n">
        <f aca="false">-F67*Assumptions!$B$48</f>
        <v>-3318197.27573529</v>
      </c>
      <c r="G70" s="23" t="n">
        <f aca="false">-G67*Assumptions!$B$48</f>
        <v>-3318197.27573529</v>
      </c>
    </row>
    <row r="71" customFormat="false" ht="15" hidden="false" customHeight="false" outlineLevel="0" collapsed="false">
      <c r="A71" s="9" t="s">
        <v>149</v>
      </c>
      <c r="B71" s="23" t="n">
        <f aca="false">-B68*Assumptions!$B$49</f>
        <v>-533698.532352941</v>
      </c>
      <c r="C71" s="23" t="n">
        <f aca="false">-C68*Assumptions!$B$49</f>
        <v>-2420863.60845588</v>
      </c>
      <c r="D71" s="23" t="n">
        <f aca="false">-D68*Assumptions!$B$49</f>
        <v>-5034453.34904412</v>
      </c>
      <c r="E71" s="23" t="n">
        <f aca="false">-E68*Assumptions!$B$49</f>
        <v>-6517584.48014706</v>
      </c>
      <c r="F71" s="23" t="n">
        <f aca="false">-F68*Assumptions!$B$49</f>
        <v>-6886394.55147059</v>
      </c>
      <c r="G71" s="23" t="n">
        <f aca="false">-G68*Assumptions!$B$49</f>
        <v>-6886394.55147059</v>
      </c>
    </row>
    <row r="72" customFormat="false" ht="15" hidden="false" customHeight="false" outlineLevel="0" collapsed="false">
      <c r="A72" s="9" t="s">
        <v>150</v>
      </c>
      <c r="B72" s="23" t="n">
        <f aca="false">-(B19+B36+B53)</f>
        <v>-888000</v>
      </c>
      <c r="C72" s="23" t="n">
        <f aca="false">-(C19+C36+C53)</f>
        <v>-3071000</v>
      </c>
      <c r="D72" s="23" t="n">
        <f aca="false">-(D19+D36+D53)</f>
        <v>-5067520</v>
      </c>
      <c r="E72" s="23" t="n">
        <f aca="false">-(E19+E36+E53)</f>
        <v>-5535200</v>
      </c>
      <c r="F72" s="23" t="n">
        <f aca="false">-(F19+F36+F53)</f>
        <v>-5535200</v>
      </c>
      <c r="G72" s="23" t="n">
        <f aca="false">-(G19+G36+G53)</f>
        <v>-5535200</v>
      </c>
    </row>
    <row r="73" customFormat="false" ht="15" hidden="false" customHeight="false" outlineLevel="0" collapsed="false">
      <c r="A73" s="9" t="s">
        <v>151</v>
      </c>
      <c r="B73" s="23" t="n">
        <f aca="false">-(B20+B37+B54)</f>
        <v>-480000</v>
      </c>
      <c r="C73" s="23" t="n">
        <f aca="false">-(C20+C37+C54)</f>
        <v>-2160000</v>
      </c>
      <c r="D73" s="23" t="n">
        <f aca="false">-(D20+D37+D54)</f>
        <v>-4224000</v>
      </c>
      <c r="E73" s="23" t="n">
        <f aca="false">-(E20+E37+E54)</f>
        <v>-4800000</v>
      </c>
      <c r="F73" s="23" t="n">
        <f aca="false">-(F20+F37+F54)</f>
        <v>-4800000</v>
      </c>
      <c r="G73" s="23" t="n">
        <f aca="false">-(G20+G37+G54)</f>
        <v>-4800000</v>
      </c>
    </row>
    <row r="74" customFormat="false" ht="15" hidden="false" customHeight="false" outlineLevel="0" collapsed="false">
      <c r="A74" s="9" t="s">
        <v>152</v>
      </c>
      <c r="B74" s="23" t="n">
        <f aca="false">-(B21+B38+B55)</f>
        <v>-288600</v>
      </c>
      <c r="C74" s="23" t="n">
        <f aca="false">-(C21+C38+C55)</f>
        <v>-998075</v>
      </c>
      <c r="D74" s="23" t="n">
        <f aca="false">-(D21+D38+D55)</f>
        <v>-1646944</v>
      </c>
      <c r="E74" s="23" t="n">
        <f aca="false">-(E21+E38+E55)</f>
        <v>-1798940</v>
      </c>
      <c r="F74" s="23" t="n">
        <f aca="false">-(F21+F38+F55)</f>
        <v>-1798940</v>
      </c>
      <c r="G74" s="23" t="n">
        <f aca="false">-(G21+G38+G55)</f>
        <v>-1798940</v>
      </c>
    </row>
    <row r="75" customFormat="false" ht="15" hidden="false" customHeight="false" outlineLevel="0" collapsed="false">
      <c r="A75" s="9" t="s">
        <v>196</v>
      </c>
      <c r="B75" s="5" t="n">
        <f aca="false">-Assumptions!B75</f>
        <v>-4000000</v>
      </c>
      <c r="C75" s="5" t="n">
        <f aca="false">-Assumptions!C75</f>
        <v>-8000000</v>
      </c>
      <c r="D75" s="5" t="n">
        <f aca="false">-Assumptions!D75</f>
        <v>-11000000</v>
      </c>
      <c r="E75" s="5" t="n">
        <f aca="false">-Assumptions!E75</f>
        <v>-12000000</v>
      </c>
      <c r="F75" s="5" t="n">
        <f aca="false">-Assumptions!F75</f>
        <v>-12000000</v>
      </c>
      <c r="G75" s="5" t="n">
        <f aca="false">-Assumptions!G75</f>
        <v>-12000000</v>
      </c>
    </row>
    <row r="76" customFormat="false" ht="15" hidden="false" customHeight="false" outlineLevel="0" collapsed="false">
      <c r="A76" s="9" t="s">
        <v>134</v>
      </c>
      <c r="B76" s="5" t="n">
        <f aca="false">-Assumptions!B76</f>
        <v>-2000000</v>
      </c>
      <c r="C76" s="5" t="n">
        <f aca="false">-Assumptions!C76</f>
        <v>-3000000</v>
      </c>
      <c r="D76" s="5" t="n">
        <f aca="false">-Assumptions!D76</f>
        <v>-4000000</v>
      </c>
      <c r="E76" s="5" t="n">
        <f aca="false">-Assumptions!E76</f>
        <v>-4000000</v>
      </c>
      <c r="F76" s="5" t="n">
        <f aca="false">-Assumptions!F76</f>
        <v>-4000000</v>
      </c>
      <c r="G76" s="5" t="n">
        <f aca="false">-Assumptions!G76</f>
        <v>-4000000</v>
      </c>
    </row>
    <row r="77" customFormat="false" ht="15" hidden="false" customHeight="false" outlineLevel="0" collapsed="false">
      <c r="A77" s="12" t="s">
        <v>14</v>
      </c>
      <c r="B77" s="27" t="n">
        <f aca="false">SUM(B68:B76)</f>
        <v>194528.719117648</v>
      </c>
      <c r="C77" s="27" t="n">
        <f aca="false">SUM(C68:C76)</f>
        <v>18379697.3226103</v>
      </c>
      <c r="D77" s="27" t="n">
        <f aca="false">SUM(D68:D76)</f>
        <v>48051109.5611397</v>
      </c>
      <c r="E77" s="27" t="n">
        <f aca="false">SUM(E68:E76)</f>
        <v>67495834.9621324</v>
      </c>
      <c r="F77" s="27" t="n">
        <f aca="false">SUM(F68:F76)</f>
        <v>72843580.9963235</v>
      </c>
      <c r="G77" s="27" t="n">
        <f aca="false">SUM(G68:G76)</f>
        <v>72843580.9963235</v>
      </c>
    </row>
    <row r="78" customFormat="false" ht="15" hidden="false" customHeight="false" outlineLevel="0" collapsed="false">
      <c r="A78" s="9" t="s">
        <v>15</v>
      </c>
      <c r="B78" s="18" t="n">
        <f aca="false">IF(B68=0,0,B77/B68)</f>
        <v>0.0182245881640352</v>
      </c>
      <c r="C78" s="18" t="n">
        <f aca="false">IF(C68=0,0,C77/C68)</f>
        <v>0.379610343565236</v>
      </c>
      <c r="D78" s="18" t="n">
        <f aca="false">IF(D68=0,0,D77/D68)</f>
        <v>0.477222711481308</v>
      </c>
      <c r="E78" s="18" t="n">
        <f aca="false">IF(E68=0,0,E77/E68)</f>
        <v>0.517797929338151</v>
      </c>
      <c r="F78" s="18" t="n">
        <f aca="false">IF(F68=0,0,F77/F68)</f>
        <v>0.528894913382271</v>
      </c>
      <c r="G78" s="18" t="n">
        <f aca="false">IF(G68=0,0,G77/G68)</f>
        <v>0.528894913382271</v>
      </c>
    </row>
    <row r="79" customFormat="false" ht="15" hidden="false" customHeight="false" outlineLevel="0" collapsed="false">
      <c r="A79" s="9" t="s">
        <v>197</v>
      </c>
      <c r="B79" s="5" t="n">
        <f aca="false">-Debt!B93</f>
        <v>-6233760</v>
      </c>
      <c r="C79" s="5" t="n">
        <f aca="false">-Debt!C93</f>
        <v>-14890537.1904932</v>
      </c>
      <c r="D79" s="5" t="n">
        <f aca="false">-Debt!D93</f>
        <v>-17338233.6726889</v>
      </c>
      <c r="E79" s="5" t="n">
        <f aca="false">-Debt!E93</f>
        <v>-14407561.2708722</v>
      </c>
      <c r="F79" s="5" t="n">
        <f aca="false">-Debt!F93</f>
        <v>-10753709.376914</v>
      </c>
      <c r="G79" s="5" t="n">
        <f aca="false">-Debt!G93</f>
        <v>-6636457.60640671</v>
      </c>
    </row>
    <row r="80" customFormat="false" ht="15" hidden="false" customHeight="false" outlineLevel="0" collapsed="false">
      <c r="A80" s="9" t="s">
        <v>198</v>
      </c>
      <c r="B80" s="5" t="n">
        <f aca="false">-Debt!B94</f>
        <v>-0</v>
      </c>
      <c r="C80" s="5" t="n">
        <f aca="false">-Debt!C94</f>
        <v>-8067017.62953011</v>
      </c>
      <c r="D80" s="5" t="n">
        <f aca="false">-Debt!D94</f>
        <v>-20854518.0932018</v>
      </c>
      <c r="E80" s="5" t="n">
        <f aca="false">-Debt!E94</f>
        <v>-28810179.5848672</v>
      </c>
      <c r="F80" s="5" t="n">
        <f aca="false">-Debt!F94</f>
        <v>-32464031.4788254</v>
      </c>
      <c r="G80" s="5" t="n">
        <f aca="false">-Debt!G94</f>
        <v>-36581283.2493326</v>
      </c>
    </row>
    <row r="81" customFormat="false" ht="15" hidden="false" customHeight="false" outlineLevel="0" collapsed="false">
      <c r="A81" s="12" t="s">
        <v>16</v>
      </c>
      <c r="B81" s="30" t="n">
        <f aca="false">B79+B80</f>
        <v>-6233760</v>
      </c>
      <c r="C81" s="30" t="n">
        <f aca="false">C79+C80</f>
        <v>-22957554.8200233</v>
      </c>
      <c r="D81" s="30" t="n">
        <f aca="false">D79+D80</f>
        <v>-38192751.7658907</v>
      </c>
      <c r="E81" s="30" t="n">
        <f aca="false">E79+E80</f>
        <v>-43217740.8557394</v>
      </c>
      <c r="F81" s="30" t="n">
        <f aca="false">F79+F80</f>
        <v>-43217740.8557394</v>
      </c>
      <c r="G81" s="30" t="n">
        <f aca="false">G79+G80</f>
        <v>-43217740.8557394</v>
      </c>
    </row>
    <row r="82" customFormat="false" ht="15" hidden="false" customHeight="false" outlineLevel="0" collapsed="false">
      <c r="A82" s="9" t="s">
        <v>199</v>
      </c>
      <c r="B82" s="33" t="n">
        <f aca="false">IF(B81=0,0,B77/-B81)</f>
        <v>0.0312056798974692</v>
      </c>
      <c r="C82" s="33" t="n">
        <f aca="false">IF(C81=0,0,C77/-C81)</f>
        <v>0.800594726515897</v>
      </c>
      <c r="D82" s="33" t="n">
        <f aca="false">IF(D81=0,0,D77/-D81)</f>
        <v>1.25812117062624</v>
      </c>
      <c r="E82" s="33" t="n">
        <f aca="false">IF(E81=0,0,E77/-E81)</f>
        <v>1.56176222138573</v>
      </c>
      <c r="F82" s="33" t="n">
        <f aca="false">IF(F81=0,0,F77/-F81)</f>
        <v>1.68550182295449</v>
      </c>
      <c r="G82" s="33" t="n">
        <f aca="false">IF(G81=0,0,G77/-G81)</f>
        <v>1.68550182295449</v>
      </c>
    </row>
    <row r="83" customFormat="false" ht="15" hidden="false" customHeight="false" outlineLevel="0" collapsed="false">
      <c r="A83" s="12" t="s">
        <v>18</v>
      </c>
      <c r="B83" s="27" t="n">
        <f aca="false">B77+B81</f>
        <v>-6039231.28088235</v>
      </c>
      <c r="C83" s="27" t="n">
        <f aca="false">C77+C81</f>
        <v>-4577857.49741303</v>
      </c>
      <c r="D83" s="27" t="n">
        <f aca="false">D77+D81</f>
        <v>9858357.79524905</v>
      </c>
      <c r="E83" s="27" t="n">
        <f aca="false">E77+E81</f>
        <v>24278094.106393</v>
      </c>
      <c r="F83" s="27" t="n">
        <f aca="false">F77+F81</f>
        <v>29625840.1405842</v>
      </c>
      <c r="G83" s="27" t="n">
        <f aca="false">G77+G81</f>
        <v>29625840.1405842</v>
      </c>
    </row>
    <row r="84" customFormat="false" ht="15" hidden="false" customHeight="false" outlineLevel="0" collapsed="false">
      <c r="A84" s="9" t="s">
        <v>184</v>
      </c>
      <c r="B84" s="23" t="n">
        <f aca="false">B10+B27+B44</f>
        <v>57720000</v>
      </c>
      <c r="C84" s="23" t="n">
        <f aca="false">C10+C27+C44</f>
        <v>84175000</v>
      </c>
      <c r="D84" s="23" t="n">
        <f aca="false">D10+D27+D44</f>
        <v>37999000</v>
      </c>
      <c r="E84" s="23" t="n">
        <f aca="false">E10+E27+E44</f>
        <v>0</v>
      </c>
      <c r="F84" s="23" t="n">
        <f aca="false">F10+F27+F44</f>
        <v>0</v>
      </c>
      <c r="G84" s="23" t="n">
        <f aca="false">G10+G27+G44</f>
        <v>0</v>
      </c>
    </row>
    <row r="85" customFormat="false" ht="15" hidden="false" customHeight="false" outlineLevel="0" collapsed="false">
      <c r="A85" s="9" t="s">
        <v>200</v>
      </c>
      <c r="B85" s="23" t="n">
        <f aca="false">-B84*(1-Assumptions!$B$18)</f>
        <v>-5772000</v>
      </c>
      <c r="C85" s="23" t="n">
        <f aca="false">-C84*(1-Assumptions!$B$18)</f>
        <v>-8417500</v>
      </c>
      <c r="D85" s="23" t="n">
        <f aca="false">-D84*(1-Assumptions!$B$18)</f>
        <v>-3799900</v>
      </c>
      <c r="E85" s="23" t="n">
        <f aca="false">-E84*(1-Assumptions!$B$18)</f>
        <v>-0</v>
      </c>
      <c r="F85" s="23" t="n">
        <f aca="false">-F84*(1-Assumptions!$B$18)</f>
        <v>-0</v>
      </c>
      <c r="G85" s="23" t="n">
        <f aca="false">-G84*(1-Assumptions!$B$18)</f>
        <v>-0</v>
      </c>
    </row>
    <row r="86" customFormat="false" ht="15" hidden="false" customHeight="false" outlineLevel="0" collapsed="false">
      <c r="A86" s="12" t="s">
        <v>201</v>
      </c>
      <c r="B86" s="30" t="n">
        <f aca="false">B83+B85</f>
        <v>-11811231.2808824</v>
      </c>
      <c r="C86" s="30" t="n">
        <f aca="false">C83+C85+B86</f>
        <v>-24806588.7782954</v>
      </c>
      <c r="D86" s="30" t="n">
        <f aca="false">D83+D85+C86</f>
        <v>-18748130.9830463</v>
      </c>
      <c r="E86" s="30" t="n">
        <f aca="false">E83+E85+D86</f>
        <v>5529963.12334667</v>
      </c>
      <c r="F86" s="30" t="n">
        <f aca="false">F83+F85+E86</f>
        <v>35155803.2639309</v>
      </c>
      <c r="G86" s="30" t="n">
        <f aca="false">G83+G85+F86</f>
        <v>64781643.404515</v>
      </c>
    </row>
    <row r="87" customFormat="false" ht="15" hidden="false" customHeight="false" outlineLevel="0" collapsed="false">
      <c r="A87" s="9" t="s">
        <v>202</v>
      </c>
      <c r="B87" s="23" t="n">
        <f aca="false">-B69</f>
        <v>2034794.12941177</v>
      </c>
      <c r="C87" s="23" t="n">
        <f aca="false">-C69</f>
        <v>9233454.43382353</v>
      </c>
      <c r="D87" s="23" t="n">
        <f aca="false">-D69</f>
        <v>19257813.3961765</v>
      </c>
      <c r="E87" s="23" t="n">
        <f aca="false">-E69</f>
        <v>25070337.9205882</v>
      </c>
      <c r="F87" s="23" t="n">
        <f aca="false">-F69</f>
        <v>26545578.2058824</v>
      </c>
      <c r="G87" s="23" t="n">
        <f aca="false">-G69</f>
        <v>26545578.2058824</v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5" hidden="false" customHeight="false" outlineLevel="0" collapsed="false">
      <c r="A89" s="12" t="s">
        <v>203</v>
      </c>
      <c r="B89" s="34" t="n">
        <f aca="false">-MIN(B86:G86)</f>
        <v>24806588.7782954</v>
      </c>
      <c r="C89" s="2"/>
      <c r="D89" s="2"/>
      <c r="E89" s="2"/>
      <c r="F89" s="2"/>
      <c r="G8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205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180</v>
      </c>
      <c r="B2" s="10" t="n">
        <f aca="false">Assumptions!$B$9</f>
        <v>1.25</v>
      </c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2" t="s">
        <v>126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4" t="s">
        <v>122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9" t="s">
        <v>181</v>
      </c>
      <c r="B7" s="21" t="n">
        <f aca="false">2027-Assumptions!$B$69</f>
        <v>0</v>
      </c>
      <c r="C7" s="21" t="n">
        <f aca="false">2028-Assumptions!$B$69</f>
        <v>1</v>
      </c>
      <c r="D7" s="21" t="n">
        <f aca="false">2029-Assumptions!$B$69</f>
        <v>2</v>
      </c>
      <c r="E7" s="21" t="n">
        <f aca="false">2030-Assumptions!$B$69</f>
        <v>3</v>
      </c>
      <c r="F7" s="21" t="n">
        <f aca="false">2031-Assumptions!$B$69</f>
        <v>4</v>
      </c>
      <c r="G7" s="21" t="n">
        <f aca="false">2032-Assumptions!$B$69</f>
        <v>5</v>
      </c>
    </row>
    <row r="8" customFormat="false" ht="15" hidden="false" customHeight="false" outlineLevel="0" collapsed="false">
      <c r="A8" s="9" t="s">
        <v>182</v>
      </c>
      <c r="B8" s="18" t="n">
        <f aca="false">IF(B7&lt;0,0,IF(B7=0,Assumptions!$C$69,1))</f>
        <v>0.5</v>
      </c>
      <c r="C8" s="18" t="n">
        <f aca="false">IF(C7&lt;0,0,IF(C7=0,Assumptions!$C$69,1))</f>
        <v>1</v>
      </c>
      <c r="D8" s="18" t="n">
        <f aca="false">IF(D7&lt;0,0,IF(D7=0,Assumptions!$C$69,1))</f>
        <v>1</v>
      </c>
      <c r="E8" s="18" t="n">
        <f aca="false">IF(E7&lt;0,0,IF(E7=0,Assumptions!$C$69,1))</f>
        <v>1</v>
      </c>
      <c r="F8" s="18" t="n">
        <f aca="false">IF(F7&lt;0,0,IF(F7=0,Assumptions!$C$69,1))</f>
        <v>1</v>
      </c>
      <c r="G8" s="18" t="n">
        <f aca="false">IF(G7&lt;0,0,IF(G7=0,Assumptions!$C$69,1))</f>
        <v>1</v>
      </c>
    </row>
    <row r="9" customFormat="false" ht="15" hidden="false" customHeight="false" outlineLevel="0" collapsed="false">
      <c r="A9" s="9" t="s">
        <v>183</v>
      </c>
      <c r="B9" s="18" t="n">
        <f aca="false">B8*IF(B7=0,Assumptions!$B$56,IF(B7=1,Assumptions!$B$57,1))</f>
        <v>0.275</v>
      </c>
      <c r="C9" s="18" t="n">
        <f aca="false">C8*IF(C7=0,Assumptions!$B$56,IF(C7=1,Assumptions!$B$57,1))</f>
        <v>0.8</v>
      </c>
      <c r="D9" s="18" t="n">
        <f aca="false">D8*IF(D7=0,Assumptions!$B$56,IF(D7=1,Assumptions!$B$57,1))</f>
        <v>1</v>
      </c>
      <c r="E9" s="18" t="n">
        <f aca="false">E8*IF(E7=0,Assumptions!$B$56,IF(E7=1,Assumptions!$B$57,1))</f>
        <v>1</v>
      </c>
      <c r="F9" s="18" t="n">
        <f aca="false">F8*IF(F7=0,Assumptions!$B$56,IF(F7=1,Assumptions!$B$57,1))</f>
        <v>1</v>
      </c>
      <c r="G9" s="18" t="n">
        <f aca="false">G8*IF(G7=0,Assumptions!$B$56,IF(G7=1,Assumptions!$B$57,1))</f>
        <v>1</v>
      </c>
    </row>
    <row r="10" customFormat="false" ht="15" hidden="false" customHeight="false" outlineLevel="0" collapsed="false">
      <c r="A10" s="9" t="s">
        <v>184</v>
      </c>
      <c r="B10" s="23" t="n">
        <f aca="false">IF(B7=0,Debt!$D$5,0)</f>
        <v>57720000</v>
      </c>
      <c r="C10" s="23" t="n">
        <f aca="false">IF(C7=0,Debt!$D$5,0)</f>
        <v>0</v>
      </c>
      <c r="D10" s="23" t="n">
        <f aca="false">IF(D7=0,Debt!$D$5,0)</f>
        <v>0</v>
      </c>
      <c r="E10" s="23" t="n">
        <f aca="false">IF(E7=0,Debt!$D$5,0)</f>
        <v>0</v>
      </c>
      <c r="F10" s="23" t="n">
        <f aca="false">IF(F7=0,Debt!$D$5,0)</f>
        <v>0</v>
      </c>
      <c r="G10" s="23" t="n">
        <f aca="false">IF(G7=0,Debt!$D$5,0)</f>
        <v>0</v>
      </c>
    </row>
    <row r="11" customFormat="false" ht="15" hidden="false" customHeight="false" outlineLevel="0" collapsed="false">
      <c r="A11" s="9" t="s">
        <v>185</v>
      </c>
      <c r="B11" s="21" t="n">
        <f aca="false">IF(B7&gt;=0,SUM(Assumptions!$D$69:$F$69),0)</f>
        <v>40</v>
      </c>
      <c r="C11" s="21" t="n">
        <f aca="false">IF(C7&gt;=0,SUM(Assumptions!$D$69:$F$69),0)</f>
        <v>40</v>
      </c>
      <c r="D11" s="21" t="n">
        <f aca="false">IF(D7&gt;=0,SUM(Assumptions!$D$69:$F$69),0)</f>
        <v>40</v>
      </c>
      <c r="E11" s="21" t="n">
        <f aca="false">IF(E7&gt;=0,SUM(Assumptions!$D$69:$F$69),0)</f>
        <v>40</v>
      </c>
      <c r="F11" s="21" t="n">
        <f aca="false">IF(F7&gt;=0,SUM(Assumptions!$D$69:$F$69),0)</f>
        <v>40</v>
      </c>
      <c r="G11" s="21" t="n">
        <f aca="false">IF(G7&gt;=0,SUM(Assumptions!$D$69:$F$69),0)</f>
        <v>40</v>
      </c>
    </row>
    <row r="12" customFormat="false" ht="15" hidden="false" customHeight="false" outlineLevel="0" collapsed="false">
      <c r="A12" s="9" t="s">
        <v>186</v>
      </c>
      <c r="B12" s="21" t="n">
        <f aca="false">IF(B7&gt;=0,Assumptions!$G$69,0)</f>
        <v>20</v>
      </c>
      <c r="C12" s="21" t="n">
        <f aca="false">IF(C7&gt;=0,Assumptions!$G$69,0)</f>
        <v>20</v>
      </c>
      <c r="D12" s="21" t="n">
        <f aca="false">IF(D7&gt;=0,Assumptions!$G$69,0)</f>
        <v>20</v>
      </c>
      <c r="E12" s="21" t="n">
        <f aca="false">IF(E7&gt;=0,Assumptions!$G$69,0)</f>
        <v>20</v>
      </c>
      <c r="F12" s="21" t="n">
        <f aca="false">IF(F7&gt;=0,Assumptions!$G$69,0)</f>
        <v>20</v>
      </c>
      <c r="G12" s="21" t="n">
        <f aca="false">IF(G7&gt;=0,Assumptions!$G$69,0)</f>
        <v>20</v>
      </c>
    </row>
    <row r="13" customFormat="false" ht="15" hidden="false" customHeight="false" outlineLevel="0" collapsed="false">
      <c r="A13" s="9" t="s">
        <v>187</v>
      </c>
      <c r="B13" s="21" t="n">
        <f aca="false">(Assumptions!$D$69*MIN(Assumptions!$C$63*$B$2,Assumptions!$B$28)+Assumptions!$E$69*MIN(Assumptions!$C$64*$B$2,Assumptions!$B$28)+Assumptions!$F$69*MIN(Assumptions!$C$65*$B$2,Assumptions!$B$28))*Assumptions!$B$27*B9</f>
        <v>29700</v>
      </c>
      <c r="C13" s="21" t="n">
        <f aca="false">(Assumptions!$D$69*MIN(Assumptions!$C$63*$B$2,Assumptions!$B$28)+Assumptions!$E$69*MIN(Assumptions!$C$64*$B$2,Assumptions!$B$28)+Assumptions!$F$69*MIN(Assumptions!$C$65*$B$2,Assumptions!$B$28))*Assumptions!$B$27*C9</f>
        <v>86400</v>
      </c>
      <c r="D13" s="21" t="n">
        <f aca="false">(Assumptions!$D$69*MIN(Assumptions!$C$63*$B$2,Assumptions!$B$28)+Assumptions!$E$69*MIN(Assumptions!$C$64*$B$2,Assumptions!$B$28)+Assumptions!$F$69*MIN(Assumptions!$C$65*$B$2,Assumptions!$B$28))*Assumptions!$B$27*D9</f>
        <v>108000</v>
      </c>
      <c r="E13" s="21" t="n">
        <f aca="false">(Assumptions!$D$69*MIN(Assumptions!$C$63*$B$2,Assumptions!$B$28)+Assumptions!$E$69*MIN(Assumptions!$C$64*$B$2,Assumptions!$B$28)+Assumptions!$F$69*MIN(Assumptions!$C$65*$B$2,Assumptions!$B$28))*Assumptions!$B$27*E9</f>
        <v>108000</v>
      </c>
      <c r="F13" s="21" t="n">
        <f aca="false">(Assumptions!$D$69*MIN(Assumptions!$C$63*$B$2,Assumptions!$B$28)+Assumptions!$E$69*MIN(Assumptions!$C$64*$B$2,Assumptions!$B$28)+Assumptions!$F$69*MIN(Assumptions!$C$65*$B$2,Assumptions!$B$28))*Assumptions!$B$27*F9</f>
        <v>108000</v>
      </c>
      <c r="G13" s="21" t="n">
        <f aca="false">(Assumptions!$D$69*MIN(Assumptions!$C$63*$B$2,Assumptions!$B$28)+Assumptions!$E$69*MIN(Assumptions!$C$64*$B$2,Assumptions!$B$28)+Assumptions!$F$69*MIN(Assumptions!$C$65*$B$2,Assumptions!$B$28))*Assumptions!$B$27*G9</f>
        <v>108000</v>
      </c>
    </row>
    <row r="14" customFormat="false" ht="15" hidden="false" customHeight="false" outlineLevel="0" collapsed="false">
      <c r="A14" s="9" t="s">
        <v>142</v>
      </c>
      <c r="B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(Assumptions!$D$69*MIN(Assumptions!$C$63*$B$2,Assumptions!$B$28)*Assumptions!$D$63+Assumptions!$E$69*MIN(Assumptions!$C$64*$B$2,Assumptions!$B$28)*Assumptions!$D$64+Assumptions!$F$69*MIN(Assumptions!$C$65*$B$2,Assumptions!$B$28)*Assumptions!$D$65)*Assumptions!$B$27*B9</f>
        <v>15444000</v>
      </c>
      <c r="C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(Assumptions!$D$69*MIN(Assumptions!$C$63*$B$2,Assumptions!$B$28)*Assumptions!$D$63+Assumptions!$E$69*MIN(Assumptions!$C$64*$B$2,Assumptions!$B$28)*Assumptions!$D$64+Assumptions!$F$69*MIN(Assumptions!$C$65*$B$2,Assumptions!$B$28)*Assumptions!$D$65)*Assumptions!$B$27*C9</f>
        <v>44928000</v>
      </c>
      <c r="D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(Assumptions!$D$69*MIN(Assumptions!$C$63*$B$2,Assumptions!$B$28)*Assumptions!$D$63+Assumptions!$E$69*MIN(Assumptions!$C$64*$B$2,Assumptions!$B$28)*Assumptions!$D$64+Assumptions!$F$69*MIN(Assumptions!$C$65*$B$2,Assumptions!$B$28)*Assumptions!$D$65)*Assumptions!$B$27*D9</f>
        <v>56160000</v>
      </c>
      <c r="E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(Assumptions!$D$69*MIN(Assumptions!$C$63*$B$2,Assumptions!$B$28)*Assumptions!$D$63+Assumptions!$E$69*MIN(Assumptions!$C$64*$B$2,Assumptions!$B$28)*Assumptions!$D$64+Assumptions!$F$69*MIN(Assumptions!$C$65*$B$2,Assumptions!$B$28)*Assumptions!$D$65)*Assumptions!$B$27*E9</f>
        <v>56160000</v>
      </c>
      <c r="F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(Assumptions!$D$69*MIN(Assumptions!$C$63*$B$2,Assumptions!$B$28)*Assumptions!$D$63+Assumptions!$E$69*MIN(Assumptions!$C$64*$B$2,Assumptions!$B$28)*Assumptions!$D$64+Assumptions!$F$69*MIN(Assumptions!$C$65*$B$2,Assumptions!$B$28)*Assumptions!$D$65)*Assumptions!$B$27*F9</f>
        <v>56160000</v>
      </c>
      <c r="G14" s="23" t="n">
        <f aca="false">(Assumptions!$D$69*MIN(Assumptions!$C$63*$B$2,Assumptions!$B$28)*Assumptions!$D$63+Assumptions!$E$69*MIN(Assumptions!$C$64*$B$2,Assumptions!$B$28)*Assumptions!$D$64+Assumptions!$F$69*MIN(Assumptions!$C$65*$B$2,Assumptions!$B$28)*Assumptions!$D$65)*Assumptions!$B$27*G9</f>
        <v>56160000</v>
      </c>
    </row>
    <row r="15" customFormat="false" ht="15" hidden="false" customHeight="false" outlineLevel="0" collapsed="false">
      <c r="A15" s="9" t="s">
        <v>188</v>
      </c>
      <c r="B15" s="23" t="n">
        <f aca="false">Assumptions!$G$69*Assumptions!$B$33*Assumptions!$B$35*$B$2*IF(B7=0,Assumptions!$B$36,IF(B7=1,Assumptions!$B$37,1))*Assumptions!$B$34*12*B8</f>
        <v>1232715.44117647</v>
      </c>
      <c r="C15" s="23" t="n">
        <f aca="false">Assumptions!$G$69*Assumptions!$B$33*Assumptions!$B$35*$B$2*IF(C7=0,Assumptions!$B$36,IF(C7=1,Assumptions!$B$37,1))*Assumptions!$B$34*12*C8</f>
        <v>4622682.90441177</v>
      </c>
      <c r="D15" s="23" t="n">
        <f aca="false">Assumptions!$G$69*Assumptions!$B$33*Assumptions!$B$35*$B$2*IF(D7=0,Assumptions!$B$36,IF(D7=1,Assumptions!$B$37,1))*Assumptions!$B$34*12*D8</f>
        <v>6163577.20588235</v>
      </c>
      <c r="E15" s="23" t="n">
        <f aca="false">Assumptions!$G$69*Assumptions!$B$33*Assumptions!$B$35*$B$2*IF(E7=0,Assumptions!$B$36,IF(E7=1,Assumptions!$B$37,1))*Assumptions!$B$34*12*E8</f>
        <v>6163577.20588235</v>
      </c>
      <c r="F15" s="23" t="n">
        <f aca="false">Assumptions!$G$69*Assumptions!$B$33*Assumptions!$B$35*$B$2*IF(F7=0,Assumptions!$B$36,IF(F7=1,Assumptions!$B$37,1))*Assumptions!$B$34*12*F8</f>
        <v>6163577.20588235</v>
      </c>
      <c r="G15" s="23" t="n">
        <f aca="false">Assumptions!$G$69*Assumptions!$B$33*Assumptions!$B$35*$B$2*IF(G7=0,Assumptions!$B$36,IF(G7=1,Assumptions!$B$37,1))*Assumptions!$B$34*12*G8</f>
        <v>6163577.20588235</v>
      </c>
    </row>
    <row r="16" customFormat="false" ht="15" hidden="false" customHeight="false" outlineLevel="0" collapsed="false">
      <c r="A16" s="9" t="s">
        <v>144</v>
      </c>
      <c r="B16" s="23" t="n">
        <f aca="false">B11*Assumptions!$B$40*B9</f>
        <v>440000</v>
      </c>
      <c r="C16" s="23" t="n">
        <f aca="false">C11*Assumptions!$B$40*C9</f>
        <v>1280000</v>
      </c>
      <c r="D16" s="23" t="n">
        <f aca="false">D11*Assumptions!$B$40*D9</f>
        <v>1600000</v>
      </c>
      <c r="E16" s="23" t="n">
        <f aca="false">E11*Assumptions!$B$40*E9</f>
        <v>1600000</v>
      </c>
      <c r="F16" s="23" t="n">
        <f aca="false">F11*Assumptions!$B$40*F9</f>
        <v>1600000</v>
      </c>
      <c r="G16" s="23" t="n">
        <f aca="false">G11*Assumptions!$B$40*G9</f>
        <v>1600000</v>
      </c>
    </row>
    <row r="17" customFormat="false" ht="15" hidden="false" customHeight="false" outlineLevel="0" collapsed="false">
      <c r="A17" s="9" t="s">
        <v>189</v>
      </c>
      <c r="B17" s="23" t="n">
        <f aca="false">B13*Assumptions!$B$45</f>
        <v>705375</v>
      </c>
      <c r="C17" s="23" t="n">
        <f aca="false">C13*Assumptions!$B$45</f>
        <v>2052000</v>
      </c>
      <c r="D17" s="23" t="n">
        <f aca="false">D13*Assumptions!$B$45</f>
        <v>2565000</v>
      </c>
      <c r="E17" s="23" t="n">
        <f aca="false">E13*Assumptions!$B$45</f>
        <v>2565000</v>
      </c>
      <c r="F17" s="23" t="n">
        <f aca="false">F13*Assumptions!$B$45</f>
        <v>2565000</v>
      </c>
      <c r="G17" s="23" t="n">
        <f aca="false">G13*Assumptions!$B$45</f>
        <v>2565000</v>
      </c>
    </row>
    <row r="18" customFormat="false" ht="15" hidden="false" customHeight="false" outlineLevel="0" collapsed="false">
      <c r="A18" s="9" t="s">
        <v>146</v>
      </c>
      <c r="B18" s="23" t="n">
        <f aca="false">B11*Assumptions!$B$41*B8</f>
        <v>500000</v>
      </c>
      <c r="C18" s="23" t="n">
        <f aca="false">C11*Assumptions!$B$41*C8</f>
        <v>1000000</v>
      </c>
      <c r="D18" s="23" t="n">
        <f aca="false">D11*Assumptions!$B$41*D8</f>
        <v>1000000</v>
      </c>
      <c r="E18" s="23" t="n">
        <f aca="false">E11*Assumptions!$B$41*E8</f>
        <v>1000000</v>
      </c>
      <c r="F18" s="23" t="n">
        <f aca="false">F11*Assumptions!$B$41*F8</f>
        <v>1000000</v>
      </c>
      <c r="G18" s="23" t="n">
        <f aca="false">G11*Assumptions!$B$41*G8</f>
        <v>1000000</v>
      </c>
    </row>
    <row r="19" customFormat="false" ht="15" hidden="false" customHeight="false" outlineLevel="0" collapsed="false">
      <c r="A19" s="9" t="s">
        <v>150</v>
      </c>
      <c r="B19" s="23" t="n">
        <f aca="false">(Assumptions!$D$69*Assumptions!$B$63*Assumptions!$B$12+Assumptions!$E$69*Assumptions!$B$64*Assumptions!$B$12+Assumptions!$F$69*Assumptions!$B$65*Assumptions!$B$12)*Assumptions!$B$51*B8</f>
        <v>888000</v>
      </c>
      <c r="C19" s="23" t="n">
        <f aca="false">(Assumptions!$D$69*Assumptions!$B$63*Assumptions!$B$12+Assumptions!$E$69*Assumptions!$B$64*Assumptions!$B$12+Assumptions!$F$69*Assumptions!$B$65*Assumptions!$B$12)*Assumptions!$B$51*C8</f>
        <v>1776000</v>
      </c>
      <c r="D19" s="23" t="n">
        <f aca="false">(Assumptions!$D$69*Assumptions!$B$63*Assumptions!$B$12+Assumptions!$E$69*Assumptions!$B$64*Assumptions!$B$12+Assumptions!$F$69*Assumptions!$B$65*Assumptions!$B$12)*Assumptions!$B$51*D8</f>
        <v>1776000</v>
      </c>
      <c r="E19" s="23" t="n">
        <f aca="false">(Assumptions!$D$69*Assumptions!$B$63*Assumptions!$B$12+Assumptions!$E$69*Assumptions!$B$64*Assumptions!$B$12+Assumptions!$F$69*Assumptions!$B$65*Assumptions!$B$12)*Assumptions!$B$51*E8</f>
        <v>1776000</v>
      </c>
      <c r="F19" s="23" t="n">
        <f aca="false">(Assumptions!$D$69*Assumptions!$B$63*Assumptions!$B$12+Assumptions!$E$69*Assumptions!$B$64*Assumptions!$B$12+Assumptions!$F$69*Assumptions!$B$65*Assumptions!$B$12)*Assumptions!$B$51*F8</f>
        <v>1776000</v>
      </c>
      <c r="G19" s="23" t="n">
        <f aca="false">(Assumptions!$D$69*Assumptions!$B$63*Assumptions!$B$12+Assumptions!$E$69*Assumptions!$B$64*Assumptions!$B$12+Assumptions!$F$69*Assumptions!$B$65*Assumptions!$B$12)*Assumptions!$B$51*G8</f>
        <v>1776000</v>
      </c>
    </row>
    <row r="20" customFormat="false" ht="15" hidden="false" customHeight="false" outlineLevel="0" collapsed="false">
      <c r="A20" s="9" t="s">
        <v>151</v>
      </c>
      <c r="B20" s="23" t="n">
        <f aca="false">B11*Assumptions!$B$52*B8</f>
        <v>480000</v>
      </c>
      <c r="C20" s="23" t="n">
        <f aca="false">C11*Assumptions!$B$52*C8</f>
        <v>960000</v>
      </c>
      <c r="D20" s="23" t="n">
        <f aca="false">D11*Assumptions!$B$52*D8</f>
        <v>960000</v>
      </c>
      <c r="E20" s="23" t="n">
        <f aca="false">E11*Assumptions!$B$52*E8</f>
        <v>960000</v>
      </c>
      <c r="F20" s="23" t="n">
        <f aca="false">F11*Assumptions!$B$52*F8</f>
        <v>960000</v>
      </c>
      <c r="G20" s="23" t="n">
        <f aca="false">G11*Assumptions!$B$52*G8</f>
        <v>960000</v>
      </c>
    </row>
    <row r="21" customFormat="false" ht="15" hidden="false" customHeight="false" outlineLevel="0" collapsed="false">
      <c r="A21" s="9" t="s">
        <v>152</v>
      </c>
      <c r="B21" s="23" t="n">
        <f aca="false">Debt!$D$5*Assumptions!$B$50*B8</f>
        <v>288600</v>
      </c>
      <c r="C21" s="23" t="n">
        <f aca="false">Debt!$D$5*Assumptions!$B$50*C8</f>
        <v>577200</v>
      </c>
      <c r="D21" s="23" t="n">
        <f aca="false">Debt!$D$5*Assumptions!$B$50*D8</f>
        <v>577200</v>
      </c>
      <c r="E21" s="23" t="n">
        <f aca="false">Debt!$D$5*Assumptions!$B$50*E8</f>
        <v>577200</v>
      </c>
      <c r="F21" s="23" t="n">
        <f aca="false">Debt!$D$5*Assumptions!$B$50*F8</f>
        <v>577200</v>
      </c>
      <c r="G21" s="23" t="n">
        <f aca="false">Debt!$D$5*Assumptions!$B$50*G8</f>
        <v>577200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4" t="s">
        <v>123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9" t="s">
        <v>181</v>
      </c>
      <c r="B24" s="21" t="n">
        <f aca="false">2027-Assumptions!$B$70</f>
        <v>-1</v>
      </c>
      <c r="C24" s="21" t="n">
        <f aca="false">2028-Assumptions!$B$70</f>
        <v>0</v>
      </c>
      <c r="D24" s="21" t="n">
        <f aca="false">2029-Assumptions!$B$70</f>
        <v>1</v>
      </c>
      <c r="E24" s="21" t="n">
        <f aca="false">2030-Assumptions!$B$70</f>
        <v>2</v>
      </c>
      <c r="F24" s="21" t="n">
        <f aca="false">2031-Assumptions!$B$70</f>
        <v>3</v>
      </c>
      <c r="G24" s="21" t="n">
        <f aca="false">2032-Assumptions!$B$70</f>
        <v>4</v>
      </c>
    </row>
    <row r="25" customFormat="false" ht="15" hidden="false" customHeight="false" outlineLevel="0" collapsed="false">
      <c r="A25" s="9" t="s">
        <v>182</v>
      </c>
      <c r="B25" s="18" t="n">
        <f aca="false">IF(B24&lt;0,0,IF(B24=0,Assumptions!$C$70,1))</f>
        <v>0</v>
      </c>
      <c r="C25" s="18" t="n">
        <f aca="false">IF(C24&lt;0,0,IF(C24=0,Assumptions!$C$70,1))</f>
        <v>0.5</v>
      </c>
      <c r="D25" s="18" t="n">
        <f aca="false">IF(D24&lt;0,0,IF(D24=0,Assumptions!$C$70,1))</f>
        <v>1</v>
      </c>
      <c r="E25" s="18" t="n">
        <f aca="false">IF(E24&lt;0,0,IF(E24=0,Assumptions!$C$70,1))</f>
        <v>1</v>
      </c>
      <c r="F25" s="18" t="n">
        <f aca="false">IF(F24&lt;0,0,IF(F24=0,Assumptions!$C$70,1))</f>
        <v>1</v>
      </c>
      <c r="G25" s="18" t="n">
        <f aca="false">IF(G24&lt;0,0,IF(G24=0,Assumptions!$C$70,1))</f>
        <v>1</v>
      </c>
    </row>
    <row r="26" customFormat="false" ht="15" hidden="false" customHeight="false" outlineLevel="0" collapsed="false">
      <c r="A26" s="9" t="s">
        <v>183</v>
      </c>
      <c r="B26" s="18" t="n">
        <f aca="false">B25*IF(B24=0,Assumptions!$B$56,IF(B24=1,Assumptions!$B$57,1))</f>
        <v>0</v>
      </c>
      <c r="C26" s="18" t="n">
        <f aca="false">C25*IF(C24=0,Assumptions!$B$56,IF(C24=1,Assumptions!$B$57,1))</f>
        <v>0.275</v>
      </c>
      <c r="D26" s="18" t="n">
        <f aca="false">D25*IF(D24=0,Assumptions!$B$56,IF(D24=1,Assumptions!$B$57,1))</f>
        <v>0.8</v>
      </c>
      <c r="E26" s="18" t="n">
        <f aca="false">E25*IF(E24=0,Assumptions!$B$56,IF(E24=1,Assumptions!$B$57,1))</f>
        <v>1</v>
      </c>
      <c r="F26" s="18" t="n">
        <f aca="false">F25*IF(F24=0,Assumptions!$B$56,IF(F24=1,Assumptions!$B$57,1))</f>
        <v>1</v>
      </c>
      <c r="G26" s="18" t="n">
        <f aca="false">G25*IF(G24=0,Assumptions!$B$56,IF(G24=1,Assumptions!$B$57,1))</f>
        <v>1</v>
      </c>
    </row>
    <row r="27" customFormat="false" ht="15" hidden="false" customHeight="false" outlineLevel="0" collapsed="false">
      <c r="A27" s="9" t="s">
        <v>184</v>
      </c>
      <c r="B27" s="23" t="n">
        <f aca="false">IF(B24=0,Debt!$J$5,0)</f>
        <v>0</v>
      </c>
      <c r="C27" s="23" t="n">
        <f aca="false">IF(C24=0,Debt!$J$5,0)</f>
        <v>84175000</v>
      </c>
      <c r="D27" s="23" t="n">
        <f aca="false">IF(D24=0,Debt!$J$5,0)</f>
        <v>0</v>
      </c>
      <c r="E27" s="23" t="n">
        <f aca="false">IF(E24=0,Debt!$J$5,0)</f>
        <v>0</v>
      </c>
      <c r="F27" s="23" t="n">
        <f aca="false">IF(F24=0,Debt!$J$5,0)</f>
        <v>0</v>
      </c>
      <c r="G27" s="23" t="n">
        <f aca="false">IF(G24=0,Debt!$J$5,0)</f>
        <v>0</v>
      </c>
    </row>
    <row r="28" customFormat="false" ht="15" hidden="false" customHeight="false" outlineLevel="0" collapsed="false">
      <c r="A28" s="9" t="s">
        <v>185</v>
      </c>
      <c r="B28" s="21" t="n">
        <f aca="false">IF(B24&gt;=0,SUM(Assumptions!$D$70:$F$70),0)</f>
        <v>0</v>
      </c>
      <c r="C28" s="21" t="n">
        <f aca="false">IF(C24&gt;=0,SUM(Assumptions!$D$70:$F$70),0)</f>
        <v>100</v>
      </c>
      <c r="D28" s="21" t="n">
        <f aca="false">IF(D24&gt;=0,SUM(Assumptions!$D$70:$F$70),0)</f>
        <v>100</v>
      </c>
      <c r="E28" s="21" t="n">
        <f aca="false">IF(E24&gt;=0,SUM(Assumptions!$D$70:$F$70),0)</f>
        <v>100</v>
      </c>
      <c r="F28" s="21" t="n">
        <f aca="false">IF(F24&gt;=0,SUM(Assumptions!$D$70:$F$70),0)</f>
        <v>100</v>
      </c>
      <c r="G28" s="21" t="n">
        <f aca="false">IF(G24&gt;=0,SUM(Assumptions!$D$70:$F$70),0)</f>
        <v>100</v>
      </c>
    </row>
    <row r="29" customFormat="false" ht="15" hidden="false" customHeight="false" outlineLevel="0" collapsed="false">
      <c r="A29" s="9" t="s">
        <v>186</v>
      </c>
      <c r="B29" s="21" t="n">
        <f aca="false">IF(B24&gt;=0,Assumptions!$G$70,0)</f>
        <v>0</v>
      </c>
      <c r="C29" s="21" t="n">
        <f aca="false">IF(C24&gt;=0,Assumptions!$G$70,0)</f>
        <v>50</v>
      </c>
      <c r="D29" s="21" t="n">
        <f aca="false">IF(D24&gt;=0,Assumptions!$G$70,0)</f>
        <v>50</v>
      </c>
      <c r="E29" s="21" t="n">
        <f aca="false">IF(E24&gt;=0,Assumptions!$G$70,0)</f>
        <v>50</v>
      </c>
      <c r="F29" s="21" t="n">
        <f aca="false">IF(F24&gt;=0,Assumptions!$G$70,0)</f>
        <v>50</v>
      </c>
      <c r="G29" s="21" t="n">
        <f aca="false">IF(G24&gt;=0,Assumptions!$G$70,0)</f>
        <v>50</v>
      </c>
    </row>
    <row r="30" customFormat="false" ht="15" hidden="false" customHeight="false" outlineLevel="0" collapsed="false">
      <c r="A30" s="9" t="s">
        <v>187</v>
      </c>
      <c r="B30" s="21" t="n">
        <f aca="false">(Assumptions!$D$70*MIN(Assumptions!$C$63*$B$2,Assumptions!$B$28)+Assumptions!$E$70*MIN(Assumptions!$C$64*$B$2,Assumptions!$B$28)+Assumptions!$F$70*MIN(Assumptions!$C$65*$B$2,Assumptions!$B$28))*Assumptions!$B$27*B26</f>
        <v>0</v>
      </c>
      <c r="C30" s="21" t="n">
        <f aca="false">(Assumptions!$D$70*MIN(Assumptions!$C$63*$B$2,Assumptions!$B$28)+Assumptions!$E$70*MIN(Assumptions!$C$64*$B$2,Assumptions!$B$28)+Assumptions!$F$70*MIN(Assumptions!$C$65*$B$2,Assumptions!$B$28))*Assumptions!$B$27*C26</f>
        <v>61256.25</v>
      </c>
      <c r="D30" s="21" t="n">
        <f aca="false">(Assumptions!$D$70*MIN(Assumptions!$C$63*$B$2,Assumptions!$B$28)+Assumptions!$E$70*MIN(Assumptions!$C$64*$B$2,Assumptions!$B$28)+Assumptions!$F$70*MIN(Assumptions!$C$65*$B$2,Assumptions!$B$28))*Assumptions!$B$27*D26</f>
        <v>178200</v>
      </c>
      <c r="E30" s="21" t="n">
        <f aca="false">(Assumptions!$D$70*MIN(Assumptions!$C$63*$B$2,Assumptions!$B$28)+Assumptions!$E$70*MIN(Assumptions!$C$64*$B$2,Assumptions!$B$28)+Assumptions!$F$70*MIN(Assumptions!$C$65*$B$2,Assumptions!$B$28))*Assumptions!$B$27*E26</f>
        <v>222750</v>
      </c>
      <c r="F30" s="21" t="n">
        <f aca="false">(Assumptions!$D$70*MIN(Assumptions!$C$63*$B$2,Assumptions!$B$28)+Assumptions!$E$70*MIN(Assumptions!$C$64*$B$2,Assumptions!$B$28)+Assumptions!$F$70*MIN(Assumptions!$C$65*$B$2,Assumptions!$B$28))*Assumptions!$B$27*F26</f>
        <v>222750</v>
      </c>
      <c r="G30" s="21" t="n">
        <f aca="false">(Assumptions!$D$70*MIN(Assumptions!$C$63*$B$2,Assumptions!$B$28)+Assumptions!$E$70*MIN(Assumptions!$C$64*$B$2,Assumptions!$B$28)+Assumptions!$F$70*MIN(Assumptions!$C$65*$B$2,Assumptions!$B$28))*Assumptions!$B$27*G26</f>
        <v>222750</v>
      </c>
    </row>
    <row r="31" customFormat="false" ht="15" hidden="false" customHeight="false" outlineLevel="0" collapsed="false">
      <c r="A31" s="9" t="s">
        <v>142</v>
      </c>
      <c r="B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(Assumptions!$D$70*MIN(Assumptions!$C$63*$B$2,Assumptions!$B$28)*Assumptions!$D$63+Assumptions!$E$70*MIN(Assumptions!$C$64*$B$2,Assumptions!$B$28)*Assumptions!$D$64+Assumptions!$F$70*MIN(Assumptions!$C$65*$B$2,Assumptions!$B$28)*Assumptions!$D$65)*Assumptions!$B$27*B26</f>
        <v>0</v>
      </c>
      <c r="C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(Assumptions!$D$70*MIN(Assumptions!$C$63*$B$2,Assumptions!$B$28)*Assumptions!$D$63+Assumptions!$E$70*MIN(Assumptions!$C$64*$B$2,Assumptions!$B$28)*Assumptions!$D$64+Assumptions!$F$70*MIN(Assumptions!$C$65*$B$2,Assumptions!$B$28)*Assumptions!$D$65)*Assumptions!$B$27*C26</f>
        <v>22052250</v>
      </c>
      <c r="D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(Assumptions!$D$70*MIN(Assumptions!$C$63*$B$2,Assumptions!$B$28)*Assumptions!$D$63+Assumptions!$E$70*MIN(Assumptions!$C$64*$B$2,Assumptions!$B$28)*Assumptions!$D$64+Assumptions!$F$70*MIN(Assumptions!$C$65*$B$2,Assumptions!$B$28)*Assumptions!$D$65)*Assumptions!$B$27*D26</f>
        <v>64152000</v>
      </c>
      <c r="E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(Assumptions!$D$70*MIN(Assumptions!$C$63*$B$2,Assumptions!$B$28)*Assumptions!$D$63+Assumptions!$E$70*MIN(Assumptions!$C$64*$B$2,Assumptions!$B$28)*Assumptions!$D$64+Assumptions!$F$70*MIN(Assumptions!$C$65*$B$2,Assumptions!$B$28)*Assumptions!$D$65)*Assumptions!$B$27*E26</f>
        <v>80190000</v>
      </c>
      <c r="F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(Assumptions!$D$70*MIN(Assumptions!$C$63*$B$2,Assumptions!$B$28)*Assumptions!$D$63+Assumptions!$E$70*MIN(Assumptions!$C$64*$B$2,Assumptions!$B$28)*Assumptions!$D$64+Assumptions!$F$70*MIN(Assumptions!$C$65*$B$2,Assumptions!$B$28)*Assumptions!$D$65)*Assumptions!$B$27*F26</f>
        <v>80190000</v>
      </c>
      <c r="G31" s="23" t="n">
        <f aca="false">(Assumptions!$D$70*MIN(Assumptions!$C$63*$B$2,Assumptions!$B$28)*Assumptions!$D$63+Assumptions!$E$70*MIN(Assumptions!$C$64*$B$2,Assumptions!$B$28)*Assumptions!$D$64+Assumptions!$F$70*MIN(Assumptions!$C$65*$B$2,Assumptions!$B$28)*Assumptions!$D$65)*Assumptions!$B$27*G26</f>
        <v>80190000</v>
      </c>
    </row>
    <row r="32" customFormat="false" ht="15" hidden="false" customHeight="false" outlineLevel="0" collapsed="false">
      <c r="A32" s="9" t="s">
        <v>188</v>
      </c>
      <c r="B32" s="23" t="n">
        <f aca="false">Assumptions!$G$70*Assumptions!$B$33*Assumptions!$B$35*$B$2*IF(B24=0,Assumptions!$B$36,IF(B24=1,Assumptions!$B$37,1))*Assumptions!$B$34*12*B25</f>
        <v>0</v>
      </c>
      <c r="C32" s="23" t="n">
        <f aca="false">Assumptions!$G$70*Assumptions!$B$33*Assumptions!$B$35*$B$2*IF(C24=0,Assumptions!$B$36,IF(C24=1,Assumptions!$B$37,1))*Assumptions!$B$34*12*C25</f>
        <v>3081788.60294118</v>
      </c>
      <c r="D32" s="23" t="n">
        <f aca="false">Assumptions!$G$70*Assumptions!$B$33*Assumptions!$B$35*$B$2*IF(D24=0,Assumptions!$B$36,IF(D24=1,Assumptions!$B$37,1))*Assumptions!$B$34*12*D25</f>
        <v>11556707.2610294</v>
      </c>
      <c r="E32" s="23" t="n">
        <f aca="false">Assumptions!$G$70*Assumptions!$B$33*Assumptions!$B$35*$B$2*IF(E24=0,Assumptions!$B$36,IF(E24=1,Assumptions!$B$37,1))*Assumptions!$B$34*12*E25</f>
        <v>15408943.0147059</v>
      </c>
      <c r="F32" s="23" t="n">
        <f aca="false">Assumptions!$G$70*Assumptions!$B$33*Assumptions!$B$35*$B$2*IF(F24=0,Assumptions!$B$36,IF(F24=1,Assumptions!$B$37,1))*Assumptions!$B$34*12*F25</f>
        <v>15408943.0147059</v>
      </c>
      <c r="G32" s="23" t="n">
        <f aca="false">Assumptions!$G$70*Assumptions!$B$33*Assumptions!$B$35*$B$2*IF(G24=0,Assumptions!$B$36,IF(G24=1,Assumptions!$B$37,1))*Assumptions!$B$34*12*G25</f>
        <v>15408943.0147059</v>
      </c>
    </row>
    <row r="33" customFormat="false" ht="15" hidden="false" customHeight="false" outlineLevel="0" collapsed="false">
      <c r="A33" s="9" t="s">
        <v>144</v>
      </c>
      <c r="B33" s="23" t="n">
        <f aca="false">B28*Assumptions!$B$40*B26</f>
        <v>0</v>
      </c>
      <c r="C33" s="23" t="n">
        <f aca="false">C28*Assumptions!$B$40*C26</f>
        <v>1100000</v>
      </c>
      <c r="D33" s="23" t="n">
        <f aca="false">D28*Assumptions!$B$40*D26</f>
        <v>3200000</v>
      </c>
      <c r="E33" s="23" t="n">
        <f aca="false">E28*Assumptions!$B$40*E26</f>
        <v>4000000</v>
      </c>
      <c r="F33" s="23" t="n">
        <f aca="false">F28*Assumptions!$B$40*F26</f>
        <v>4000000</v>
      </c>
      <c r="G33" s="23" t="n">
        <f aca="false">G28*Assumptions!$B$40*G26</f>
        <v>4000000</v>
      </c>
    </row>
    <row r="34" customFormat="false" ht="15" hidden="false" customHeight="false" outlineLevel="0" collapsed="false">
      <c r="A34" s="9" t="s">
        <v>189</v>
      </c>
      <c r="B34" s="23" t="n">
        <f aca="false">B30*Assumptions!$B$45</f>
        <v>0</v>
      </c>
      <c r="C34" s="23" t="n">
        <f aca="false">C30*Assumptions!$B$45</f>
        <v>1454835.9375</v>
      </c>
      <c r="D34" s="23" t="n">
        <f aca="false">D30*Assumptions!$B$45</f>
        <v>4232250</v>
      </c>
      <c r="E34" s="23" t="n">
        <f aca="false">E30*Assumptions!$B$45</f>
        <v>5290312.5</v>
      </c>
      <c r="F34" s="23" t="n">
        <f aca="false">F30*Assumptions!$B$45</f>
        <v>5290312.5</v>
      </c>
      <c r="G34" s="23" t="n">
        <f aca="false">G30*Assumptions!$B$45</f>
        <v>5290312.5</v>
      </c>
    </row>
    <row r="35" customFormat="false" ht="15" hidden="false" customHeight="false" outlineLevel="0" collapsed="false">
      <c r="A35" s="9" t="s">
        <v>146</v>
      </c>
      <c r="B35" s="23" t="n">
        <f aca="false">B28*Assumptions!$B$41*B25</f>
        <v>0</v>
      </c>
      <c r="C35" s="23" t="n">
        <f aca="false">C28*Assumptions!$B$41*C25</f>
        <v>1250000</v>
      </c>
      <c r="D35" s="23" t="n">
        <f aca="false">D28*Assumptions!$B$41*D25</f>
        <v>2500000</v>
      </c>
      <c r="E35" s="23" t="n">
        <f aca="false">E28*Assumptions!$B$41*E25</f>
        <v>2500000</v>
      </c>
      <c r="F35" s="23" t="n">
        <f aca="false">F28*Assumptions!$B$41*F25</f>
        <v>2500000</v>
      </c>
      <c r="G35" s="23" t="n">
        <f aca="false">G28*Assumptions!$B$41*G25</f>
        <v>2500000</v>
      </c>
    </row>
    <row r="36" customFormat="false" ht="15" hidden="false" customHeight="false" outlineLevel="0" collapsed="false">
      <c r="A36" s="9" t="s">
        <v>150</v>
      </c>
      <c r="B36" s="23" t="n">
        <f aca="false">(Assumptions!$D$70*Assumptions!$B$63*Assumptions!$B$12+Assumptions!$E$70*Assumptions!$B$64*Assumptions!$B$12+Assumptions!$F$70*Assumptions!$B$65*Assumptions!$B$12)*Assumptions!$B$51*B25</f>
        <v>0</v>
      </c>
      <c r="C36" s="23" t="n">
        <f aca="false">(Assumptions!$D$70*Assumptions!$B$63*Assumptions!$B$12+Assumptions!$E$70*Assumptions!$B$64*Assumptions!$B$12+Assumptions!$F$70*Assumptions!$B$65*Assumptions!$B$12)*Assumptions!$B$51*C25</f>
        <v>1295000</v>
      </c>
      <c r="D36" s="23" t="n">
        <f aca="false">(Assumptions!$D$70*Assumptions!$B$63*Assumptions!$B$12+Assumptions!$E$70*Assumptions!$B$64*Assumptions!$B$12+Assumptions!$F$70*Assumptions!$B$65*Assumptions!$B$12)*Assumptions!$B$51*D25</f>
        <v>2590000</v>
      </c>
      <c r="E36" s="23" t="n">
        <f aca="false">(Assumptions!$D$70*Assumptions!$B$63*Assumptions!$B$12+Assumptions!$E$70*Assumptions!$B$64*Assumptions!$B$12+Assumptions!$F$70*Assumptions!$B$65*Assumptions!$B$12)*Assumptions!$B$51*E25</f>
        <v>2590000</v>
      </c>
      <c r="F36" s="23" t="n">
        <f aca="false">(Assumptions!$D$70*Assumptions!$B$63*Assumptions!$B$12+Assumptions!$E$70*Assumptions!$B$64*Assumptions!$B$12+Assumptions!$F$70*Assumptions!$B$65*Assumptions!$B$12)*Assumptions!$B$51*F25</f>
        <v>2590000</v>
      </c>
      <c r="G36" s="23" t="n">
        <f aca="false">(Assumptions!$D$70*Assumptions!$B$63*Assumptions!$B$12+Assumptions!$E$70*Assumptions!$B$64*Assumptions!$B$12+Assumptions!$F$70*Assumptions!$B$65*Assumptions!$B$12)*Assumptions!$B$51*G25</f>
        <v>2590000</v>
      </c>
    </row>
    <row r="37" customFormat="false" ht="15" hidden="false" customHeight="false" outlineLevel="0" collapsed="false">
      <c r="A37" s="9" t="s">
        <v>151</v>
      </c>
      <c r="B37" s="23" t="n">
        <f aca="false">B28*Assumptions!$B$52*B25</f>
        <v>0</v>
      </c>
      <c r="C37" s="23" t="n">
        <f aca="false">C28*Assumptions!$B$52*C25</f>
        <v>1200000</v>
      </c>
      <c r="D37" s="23" t="n">
        <f aca="false">D28*Assumptions!$B$52*D25</f>
        <v>2400000</v>
      </c>
      <c r="E37" s="23" t="n">
        <f aca="false">E28*Assumptions!$B$52*E25</f>
        <v>2400000</v>
      </c>
      <c r="F37" s="23" t="n">
        <f aca="false">F28*Assumptions!$B$52*F25</f>
        <v>2400000</v>
      </c>
      <c r="G37" s="23" t="n">
        <f aca="false">G28*Assumptions!$B$52*G25</f>
        <v>2400000</v>
      </c>
    </row>
    <row r="38" customFormat="false" ht="15" hidden="false" customHeight="false" outlineLevel="0" collapsed="false">
      <c r="A38" s="9" t="s">
        <v>152</v>
      </c>
      <c r="B38" s="23" t="n">
        <f aca="false">Debt!$J$5*Assumptions!$B$50*B25</f>
        <v>0</v>
      </c>
      <c r="C38" s="23" t="n">
        <f aca="false">Debt!$J$5*Assumptions!$B$50*C25</f>
        <v>420875</v>
      </c>
      <c r="D38" s="23" t="n">
        <f aca="false">Debt!$J$5*Assumptions!$B$50*D25</f>
        <v>841750</v>
      </c>
      <c r="E38" s="23" t="n">
        <f aca="false">Debt!$J$5*Assumptions!$B$50*E25</f>
        <v>841750</v>
      </c>
      <c r="F38" s="23" t="n">
        <f aca="false">Debt!$J$5*Assumptions!$B$50*F25</f>
        <v>841750</v>
      </c>
      <c r="G38" s="23" t="n">
        <f aca="false">Debt!$J$5*Assumptions!$B$50*G25</f>
        <v>841750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</row>
    <row r="40" customFormat="false" ht="15" hidden="false" customHeight="false" outlineLevel="0" collapsed="false">
      <c r="A40" s="4" t="s">
        <v>124</v>
      </c>
      <c r="B40" s="2"/>
      <c r="C40" s="2"/>
      <c r="D40" s="2"/>
      <c r="E40" s="2"/>
      <c r="F40" s="2"/>
      <c r="G40" s="2"/>
    </row>
    <row r="41" customFormat="false" ht="15" hidden="false" customHeight="false" outlineLevel="0" collapsed="false">
      <c r="A41" s="9" t="s">
        <v>181</v>
      </c>
      <c r="B41" s="21" t="n">
        <f aca="false">2027-Assumptions!$B$71</f>
        <v>-2</v>
      </c>
      <c r="C41" s="21" t="n">
        <f aca="false">2028-Assumptions!$B$71</f>
        <v>-1</v>
      </c>
      <c r="D41" s="21" t="n">
        <f aca="false">2029-Assumptions!$B$71</f>
        <v>0</v>
      </c>
      <c r="E41" s="21" t="n">
        <f aca="false">2030-Assumptions!$B$71</f>
        <v>1</v>
      </c>
      <c r="F41" s="21" t="n">
        <f aca="false">2031-Assumptions!$B$71</f>
        <v>2</v>
      </c>
      <c r="G41" s="21" t="n">
        <f aca="false">2032-Assumptions!$B$71</f>
        <v>3</v>
      </c>
    </row>
    <row r="42" customFormat="false" ht="15" hidden="false" customHeight="false" outlineLevel="0" collapsed="false">
      <c r="A42" s="9" t="s">
        <v>182</v>
      </c>
      <c r="B42" s="18" t="n">
        <f aca="false">IF(B41&lt;0,0,IF(B41=0,Assumptions!$C$71,1))</f>
        <v>0</v>
      </c>
      <c r="C42" s="18" t="n">
        <f aca="false">IF(C41&lt;0,0,IF(C41=0,Assumptions!$C$71,1))</f>
        <v>0</v>
      </c>
      <c r="D42" s="18" t="n">
        <f aca="false">IF(D41&lt;0,0,IF(D41=0,Assumptions!$C$71,1))</f>
        <v>0.6</v>
      </c>
      <c r="E42" s="18" t="n">
        <f aca="false">IF(E41&lt;0,0,IF(E41=0,Assumptions!$C$71,1))</f>
        <v>1</v>
      </c>
      <c r="F42" s="18" t="n">
        <f aca="false">IF(F41&lt;0,0,IF(F41=0,Assumptions!$C$71,1))</f>
        <v>1</v>
      </c>
      <c r="G42" s="18" t="n">
        <f aca="false">IF(G41&lt;0,0,IF(G41=0,Assumptions!$C$71,1))</f>
        <v>1</v>
      </c>
    </row>
    <row r="43" customFormat="false" ht="15" hidden="false" customHeight="false" outlineLevel="0" collapsed="false">
      <c r="A43" s="9" t="s">
        <v>183</v>
      </c>
      <c r="B43" s="18" t="n">
        <f aca="false">B42*IF(B41=0,Assumptions!$B$56,IF(B41=1,Assumptions!$B$57,1))</f>
        <v>0</v>
      </c>
      <c r="C43" s="18" t="n">
        <f aca="false">C42*IF(C41=0,Assumptions!$B$56,IF(C41=1,Assumptions!$B$57,1))</f>
        <v>0</v>
      </c>
      <c r="D43" s="18" t="n">
        <f aca="false">D42*IF(D41=0,Assumptions!$B$56,IF(D41=1,Assumptions!$B$57,1))</f>
        <v>0.33</v>
      </c>
      <c r="E43" s="18" t="n">
        <f aca="false">E42*IF(E41=0,Assumptions!$B$56,IF(E41=1,Assumptions!$B$57,1))</f>
        <v>0.8</v>
      </c>
      <c r="F43" s="18" t="n">
        <f aca="false">F42*IF(F41=0,Assumptions!$B$56,IF(F41=1,Assumptions!$B$57,1))</f>
        <v>1</v>
      </c>
      <c r="G43" s="18" t="n">
        <f aca="false">G42*IF(G41=0,Assumptions!$B$56,IF(G41=1,Assumptions!$B$57,1))</f>
        <v>1</v>
      </c>
    </row>
    <row r="44" customFormat="false" ht="15" hidden="false" customHeight="false" outlineLevel="0" collapsed="false">
      <c r="A44" s="9" t="s">
        <v>184</v>
      </c>
      <c r="B44" s="23" t="n">
        <f aca="false">IF(B41=0,Debt!$P$5,0)</f>
        <v>0</v>
      </c>
      <c r="C44" s="23" t="n">
        <f aca="false">IF(C41=0,Debt!$P$5,0)</f>
        <v>0</v>
      </c>
      <c r="D44" s="23" t="n">
        <f aca="false">IF(D41=0,Debt!$P$5,0)</f>
        <v>37999000</v>
      </c>
      <c r="E44" s="23" t="n">
        <f aca="false">IF(E41=0,Debt!$P$5,0)</f>
        <v>0</v>
      </c>
      <c r="F44" s="23" t="n">
        <f aca="false">IF(F41=0,Debt!$P$5,0)</f>
        <v>0</v>
      </c>
      <c r="G44" s="23" t="n">
        <f aca="false">IF(G41=0,Debt!$P$5,0)</f>
        <v>0</v>
      </c>
    </row>
    <row r="45" customFormat="false" ht="15" hidden="false" customHeight="false" outlineLevel="0" collapsed="false">
      <c r="A45" s="9" t="s">
        <v>185</v>
      </c>
      <c r="B45" s="21" t="n">
        <f aca="false">IF(B41&gt;=0,SUM(Assumptions!$D$71:$F$71),0)</f>
        <v>0</v>
      </c>
      <c r="C45" s="21" t="n">
        <f aca="false">IF(C41&gt;=0,SUM(Assumptions!$D$71:$F$71),0)</f>
        <v>0</v>
      </c>
      <c r="D45" s="21" t="n">
        <f aca="false">IF(D41&gt;=0,SUM(Assumptions!$D$71:$F$71),0)</f>
        <v>60</v>
      </c>
      <c r="E45" s="21" t="n">
        <f aca="false">IF(E41&gt;=0,SUM(Assumptions!$D$71:$F$71),0)</f>
        <v>60</v>
      </c>
      <c r="F45" s="21" t="n">
        <f aca="false">IF(F41&gt;=0,SUM(Assumptions!$D$71:$F$71),0)</f>
        <v>60</v>
      </c>
      <c r="G45" s="21" t="n">
        <f aca="false">IF(G41&gt;=0,SUM(Assumptions!$D$71:$F$71),0)</f>
        <v>60</v>
      </c>
    </row>
    <row r="46" customFormat="false" ht="15" hidden="false" customHeight="false" outlineLevel="0" collapsed="false">
      <c r="A46" s="9" t="s">
        <v>186</v>
      </c>
      <c r="B46" s="21" t="n">
        <f aca="false">IF(B41&gt;=0,Assumptions!$G$71,0)</f>
        <v>0</v>
      </c>
      <c r="C46" s="21" t="n">
        <f aca="false">IF(C41&gt;=0,Assumptions!$G$71,0)</f>
        <v>0</v>
      </c>
      <c r="D46" s="21" t="n">
        <f aca="false">IF(D41&gt;=0,Assumptions!$G$71,0)</f>
        <v>60</v>
      </c>
      <c r="E46" s="21" t="n">
        <f aca="false">IF(E41&gt;=0,Assumptions!$G$71,0)</f>
        <v>60</v>
      </c>
      <c r="F46" s="21" t="n">
        <f aca="false">IF(F41&gt;=0,Assumptions!$G$71,0)</f>
        <v>60</v>
      </c>
      <c r="G46" s="21" t="n">
        <f aca="false">IF(G41&gt;=0,Assumptions!$G$71,0)</f>
        <v>60</v>
      </c>
    </row>
    <row r="47" customFormat="false" ht="15" hidden="false" customHeight="false" outlineLevel="0" collapsed="false">
      <c r="A47" s="9" t="s">
        <v>187</v>
      </c>
      <c r="B47" s="21" t="n">
        <f aca="false">(Assumptions!$D$71*MIN(Assumptions!$C$63*$B$2,Assumptions!$B$28)+Assumptions!$E$71*MIN(Assumptions!$C$64*$B$2,Assumptions!$B$28)+Assumptions!$F$71*MIN(Assumptions!$C$65*$B$2,Assumptions!$B$28))*Assumptions!$B$27*B43</f>
        <v>0</v>
      </c>
      <c r="C47" s="21" t="n">
        <f aca="false">(Assumptions!$D$71*MIN(Assumptions!$C$63*$B$2,Assumptions!$B$28)+Assumptions!$E$71*MIN(Assumptions!$C$64*$B$2,Assumptions!$B$28)+Assumptions!$F$71*MIN(Assumptions!$C$65*$B$2,Assumptions!$B$28))*Assumptions!$B$27*C43</f>
        <v>0</v>
      </c>
      <c r="D47" s="21" t="n">
        <f aca="false">(Assumptions!$D$71*MIN(Assumptions!$C$63*$B$2,Assumptions!$B$28)+Assumptions!$E$71*MIN(Assumptions!$C$64*$B$2,Assumptions!$B$28)+Assumptions!$F$71*MIN(Assumptions!$C$65*$B$2,Assumptions!$B$28))*Assumptions!$B$27*D43</f>
        <v>41431.5</v>
      </c>
      <c r="E47" s="21" t="n">
        <f aca="false">(Assumptions!$D$71*MIN(Assumptions!$C$63*$B$2,Assumptions!$B$28)+Assumptions!$E$71*MIN(Assumptions!$C$64*$B$2,Assumptions!$B$28)+Assumptions!$F$71*MIN(Assumptions!$C$65*$B$2,Assumptions!$B$28))*Assumptions!$B$27*E43</f>
        <v>100440</v>
      </c>
      <c r="F47" s="21" t="n">
        <f aca="false">(Assumptions!$D$71*MIN(Assumptions!$C$63*$B$2,Assumptions!$B$28)+Assumptions!$E$71*MIN(Assumptions!$C$64*$B$2,Assumptions!$B$28)+Assumptions!$F$71*MIN(Assumptions!$C$65*$B$2,Assumptions!$B$28))*Assumptions!$B$27*F43</f>
        <v>125550</v>
      </c>
      <c r="G47" s="21" t="n">
        <f aca="false">(Assumptions!$D$71*MIN(Assumptions!$C$63*$B$2,Assumptions!$B$28)+Assumptions!$E$71*MIN(Assumptions!$C$64*$B$2,Assumptions!$B$28)+Assumptions!$F$71*MIN(Assumptions!$C$65*$B$2,Assumptions!$B$28))*Assumptions!$B$27*G43</f>
        <v>125550</v>
      </c>
    </row>
    <row r="48" customFormat="false" ht="15" hidden="false" customHeight="false" outlineLevel="0" collapsed="false">
      <c r="A48" s="9" t="s">
        <v>142</v>
      </c>
      <c r="B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(Assumptions!$D$71*MIN(Assumptions!$C$63*$B$2,Assumptions!$B$28)*Assumptions!$D$63+Assumptions!$E$71*MIN(Assumptions!$C$64*$B$2,Assumptions!$B$28)*Assumptions!$D$64+Assumptions!$F$71*MIN(Assumptions!$C$65*$B$2,Assumptions!$B$28)*Assumptions!$D$65)*Assumptions!$B$27*B43</f>
        <v>0</v>
      </c>
      <c r="C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(Assumptions!$D$71*MIN(Assumptions!$C$63*$B$2,Assumptions!$B$28)*Assumptions!$D$63+Assumptions!$E$71*MIN(Assumptions!$C$64*$B$2,Assumptions!$B$28)*Assumptions!$D$64+Assumptions!$F$71*MIN(Assumptions!$C$65*$B$2,Assumptions!$B$28)*Assumptions!$D$65)*Assumptions!$B$27*C43</f>
        <v>0</v>
      </c>
      <c r="D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(Assumptions!$D$71*MIN(Assumptions!$C$63*$B$2,Assumptions!$B$28)*Assumptions!$D$63+Assumptions!$E$71*MIN(Assumptions!$C$64*$B$2,Assumptions!$B$28)*Assumptions!$D$64+Assumptions!$F$71*MIN(Assumptions!$C$65*$B$2,Assumptions!$B$28)*Assumptions!$D$65)*Assumptions!$B$27*D43</f>
        <v>11707740</v>
      </c>
      <c r="E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(Assumptions!$D$71*MIN(Assumptions!$C$63*$B$2,Assumptions!$B$28)*Assumptions!$D$63+Assumptions!$E$71*MIN(Assumptions!$C$64*$B$2,Assumptions!$B$28)*Assumptions!$D$64+Assumptions!$F$71*MIN(Assumptions!$C$65*$B$2,Assumptions!$B$28)*Assumptions!$D$65)*Assumptions!$B$27*E43</f>
        <v>28382400</v>
      </c>
      <c r="F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(Assumptions!$D$71*MIN(Assumptions!$C$63*$B$2,Assumptions!$B$28)*Assumptions!$D$63+Assumptions!$E$71*MIN(Assumptions!$C$64*$B$2,Assumptions!$B$28)*Assumptions!$D$64+Assumptions!$F$71*MIN(Assumptions!$C$65*$B$2,Assumptions!$B$28)*Assumptions!$D$65)*Assumptions!$B$27*F43</f>
        <v>35478000</v>
      </c>
      <c r="G48" s="23" t="n">
        <f aca="false">(Assumptions!$D$71*MIN(Assumptions!$C$63*$B$2,Assumptions!$B$28)*Assumptions!$D$63+Assumptions!$E$71*MIN(Assumptions!$C$64*$B$2,Assumptions!$B$28)*Assumptions!$D$64+Assumptions!$F$71*MIN(Assumptions!$C$65*$B$2,Assumptions!$B$28)*Assumptions!$D$65)*Assumptions!$B$27*G43</f>
        <v>35478000</v>
      </c>
    </row>
    <row r="49" customFormat="false" ht="15" hidden="false" customHeight="false" outlineLevel="0" collapsed="false">
      <c r="A49" s="9" t="s">
        <v>188</v>
      </c>
      <c r="B49" s="23" t="n">
        <f aca="false">Assumptions!$G$71*Assumptions!$B$33*Assumptions!$B$35*$B$2*IF(B41=0,Assumptions!$B$36,IF(B41=1,Assumptions!$B$37,1))*Assumptions!$B$34*12*B42</f>
        <v>0</v>
      </c>
      <c r="C49" s="23" t="n">
        <f aca="false">Assumptions!$G$71*Assumptions!$B$33*Assumptions!$B$35*$B$2*IF(C41=0,Assumptions!$B$36,IF(C41=1,Assumptions!$B$37,1))*Assumptions!$B$34*12*C42</f>
        <v>0</v>
      </c>
      <c r="D49" s="23" t="n">
        <f aca="false">Assumptions!$G$71*Assumptions!$B$33*Assumptions!$B$35*$B$2*IF(D41=0,Assumptions!$B$36,IF(D41=1,Assumptions!$B$37,1))*Assumptions!$B$34*12*D42</f>
        <v>4437775.58823529</v>
      </c>
      <c r="E49" s="23" t="n">
        <f aca="false">Assumptions!$G$71*Assumptions!$B$33*Assumptions!$B$35*$B$2*IF(E41=0,Assumptions!$B$36,IF(E41=1,Assumptions!$B$37,1))*Assumptions!$B$34*12*E42</f>
        <v>13868048.7132353</v>
      </c>
      <c r="F49" s="23" t="n">
        <f aca="false">Assumptions!$G$71*Assumptions!$B$33*Assumptions!$B$35*$B$2*IF(F41=0,Assumptions!$B$36,IF(F41=1,Assumptions!$B$37,1))*Assumptions!$B$34*12*F42</f>
        <v>18490731.6176471</v>
      </c>
      <c r="G49" s="23" t="n">
        <f aca="false">Assumptions!$G$71*Assumptions!$B$33*Assumptions!$B$35*$B$2*IF(G41=0,Assumptions!$B$36,IF(G41=1,Assumptions!$B$37,1))*Assumptions!$B$34*12*G42</f>
        <v>18490731.6176471</v>
      </c>
    </row>
    <row r="50" customFormat="false" ht="15" hidden="false" customHeight="false" outlineLevel="0" collapsed="false">
      <c r="A50" s="9" t="s">
        <v>144</v>
      </c>
      <c r="B50" s="23" t="n">
        <f aca="false">B45*Assumptions!$B$40*B43</f>
        <v>0</v>
      </c>
      <c r="C50" s="23" t="n">
        <f aca="false">C45*Assumptions!$B$40*C43</f>
        <v>0</v>
      </c>
      <c r="D50" s="23" t="n">
        <f aca="false">D45*Assumptions!$B$40*D43</f>
        <v>792000</v>
      </c>
      <c r="E50" s="23" t="n">
        <f aca="false">E45*Assumptions!$B$40*E43</f>
        <v>1920000</v>
      </c>
      <c r="F50" s="23" t="n">
        <f aca="false">F45*Assumptions!$B$40*F43</f>
        <v>2400000</v>
      </c>
      <c r="G50" s="23" t="n">
        <f aca="false">G45*Assumptions!$B$40*G43</f>
        <v>2400000</v>
      </c>
    </row>
    <row r="51" customFormat="false" ht="15" hidden="false" customHeight="false" outlineLevel="0" collapsed="false">
      <c r="A51" s="9" t="s">
        <v>189</v>
      </c>
      <c r="B51" s="23" t="n">
        <f aca="false">B47*Assumptions!$B$45</f>
        <v>0</v>
      </c>
      <c r="C51" s="23" t="n">
        <f aca="false">C47*Assumptions!$B$45</f>
        <v>0</v>
      </c>
      <c r="D51" s="23" t="n">
        <f aca="false">D47*Assumptions!$B$45</f>
        <v>983998.125</v>
      </c>
      <c r="E51" s="23" t="n">
        <f aca="false">E47*Assumptions!$B$45</f>
        <v>2385450</v>
      </c>
      <c r="F51" s="23" t="n">
        <f aca="false">F47*Assumptions!$B$45</f>
        <v>2981812.5</v>
      </c>
      <c r="G51" s="23" t="n">
        <f aca="false">G47*Assumptions!$B$45</f>
        <v>2981812.5</v>
      </c>
    </row>
    <row r="52" customFormat="false" ht="15" hidden="false" customHeight="false" outlineLevel="0" collapsed="false">
      <c r="A52" s="9" t="s">
        <v>146</v>
      </c>
      <c r="B52" s="23" t="n">
        <f aca="false">B45*Assumptions!$B$41*B42</f>
        <v>0</v>
      </c>
      <c r="C52" s="23" t="n">
        <f aca="false">C45*Assumptions!$B$41*C42</f>
        <v>0</v>
      </c>
      <c r="D52" s="23" t="n">
        <f aca="false">D45*Assumptions!$B$41*D42</f>
        <v>900000</v>
      </c>
      <c r="E52" s="23" t="n">
        <f aca="false">E45*Assumptions!$B$41*E42</f>
        <v>1500000</v>
      </c>
      <c r="F52" s="23" t="n">
        <f aca="false">F45*Assumptions!$B$41*F42</f>
        <v>1500000</v>
      </c>
      <c r="G52" s="23" t="n">
        <f aca="false">G45*Assumptions!$B$41*G42</f>
        <v>1500000</v>
      </c>
    </row>
    <row r="53" customFormat="false" ht="15" hidden="false" customHeight="false" outlineLevel="0" collapsed="false">
      <c r="A53" s="9" t="s">
        <v>150</v>
      </c>
      <c r="B53" s="23" t="n">
        <f aca="false">(Assumptions!$D$71*Assumptions!$B$63*Assumptions!$B$12+Assumptions!$E$71*Assumptions!$B$64*Assumptions!$B$12+Assumptions!$F$71*Assumptions!$B$65*Assumptions!$B$12)*Assumptions!$B$51*B42</f>
        <v>0</v>
      </c>
      <c r="C53" s="23" t="n">
        <f aca="false">(Assumptions!$D$71*Assumptions!$B$63*Assumptions!$B$12+Assumptions!$E$71*Assumptions!$B$64*Assumptions!$B$12+Assumptions!$F$71*Assumptions!$B$65*Assumptions!$B$12)*Assumptions!$B$51*C42</f>
        <v>0</v>
      </c>
      <c r="D53" s="23" t="n">
        <f aca="false">(Assumptions!$D$71*Assumptions!$B$63*Assumptions!$B$12+Assumptions!$E$71*Assumptions!$B$64*Assumptions!$B$12+Assumptions!$F$71*Assumptions!$B$65*Assumptions!$B$12)*Assumptions!$B$51*D42</f>
        <v>701520</v>
      </c>
      <c r="E53" s="23" t="n">
        <f aca="false">(Assumptions!$D$71*Assumptions!$B$63*Assumptions!$B$12+Assumptions!$E$71*Assumptions!$B$64*Assumptions!$B$12+Assumptions!$F$71*Assumptions!$B$65*Assumptions!$B$12)*Assumptions!$B$51*E42</f>
        <v>1169200</v>
      </c>
      <c r="F53" s="23" t="n">
        <f aca="false">(Assumptions!$D$71*Assumptions!$B$63*Assumptions!$B$12+Assumptions!$E$71*Assumptions!$B$64*Assumptions!$B$12+Assumptions!$F$71*Assumptions!$B$65*Assumptions!$B$12)*Assumptions!$B$51*F42</f>
        <v>1169200</v>
      </c>
      <c r="G53" s="23" t="n">
        <f aca="false">(Assumptions!$D$71*Assumptions!$B$63*Assumptions!$B$12+Assumptions!$E$71*Assumptions!$B$64*Assumptions!$B$12+Assumptions!$F$71*Assumptions!$B$65*Assumptions!$B$12)*Assumptions!$B$51*G42</f>
        <v>1169200</v>
      </c>
    </row>
    <row r="54" customFormat="false" ht="15" hidden="false" customHeight="false" outlineLevel="0" collapsed="false">
      <c r="A54" s="9" t="s">
        <v>151</v>
      </c>
      <c r="B54" s="23" t="n">
        <f aca="false">B45*Assumptions!$B$52*B42</f>
        <v>0</v>
      </c>
      <c r="C54" s="23" t="n">
        <f aca="false">C45*Assumptions!$B$52*C42</f>
        <v>0</v>
      </c>
      <c r="D54" s="23" t="n">
        <f aca="false">D45*Assumptions!$B$52*D42</f>
        <v>864000</v>
      </c>
      <c r="E54" s="23" t="n">
        <f aca="false">E45*Assumptions!$B$52*E42</f>
        <v>1440000</v>
      </c>
      <c r="F54" s="23" t="n">
        <f aca="false">F45*Assumptions!$B$52*F42</f>
        <v>1440000</v>
      </c>
      <c r="G54" s="23" t="n">
        <f aca="false">G45*Assumptions!$B$52*G42</f>
        <v>1440000</v>
      </c>
    </row>
    <row r="55" customFormat="false" ht="15" hidden="false" customHeight="false" outlineLevel="0" collapsed="false">
      <c r="A55" s="9" t="s">
        <v>152</v>
      </c>
      <c r="B55" s="23" t="n">
        <f aca="false">Debt!$P$5*Assumptions!$B$50*B42</f>
        <v>0</v>
      </c>
      <c r="C55" s="23" t="n">
        <f aca="false">Debt!$P$5*Assumptions!$B$50*C42</f>
        <v>0</v>
      </c>
      <c r="D55" s="23" t="n">
        <f aca="false">Debt!$P$5*Assumptions!$B$50*D42</f>
        <v>227994</v>
      </c>
      <c r="E55" s="23" t="n">
        <f aca="false">Debt!$P$5*Assumptions!$B$50*E42</f>
        <v>379990</v>
      </c>
      <c r="F55" s="23" t="n">
        <f aca="false">Debt!$P$5*Assumptions!$B$50*F42</f>
        <v>379990</v>
      </c>
      <c r="G55" s="23" t="n">
        <f aca="false">Debt!$P$5*Assumptions!$B$50*G42</f>
        <v>379990</v>
      </c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</row>
    <row r="57" customFormat="false" ht="15" hidden="false" customHeight="false" outlineLevel="0" collapsed="false">
      <c r="A57" s="4" t="s">
        <v>190</v>
      </c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12" t="s">
        <v>191</v>
      </c>
      <c r="B58" s="31" t="n">
        <f aca="false">B11+B28+B45</f>
        <v>40</v>
      </c>
      <c r="C58" s="31" t="n">
        <f aca="false">C11+C28+C45</f>
        <v>140</v>
      </c>
      <c r="D58" s="31" t="n">
        <f aca="false">D11+D28+D45</f>
        <v>200</v>
      </c>
      <c r="E58" s="31" t="n">
        <f aca="false">E11+E28+E45</f>
        <v>200</v>
      </c>
      <c r="F58" s="31" t="n">
        <f aca="false">F11+F28+F45</f>
        <v>200</v>
      </c>
      <c r="G58" s="31" t="n">
        <f aca="false">G11+G28+G45</f>
        <v>200</v>
      </c>
    </row>
    <row r="59" customFormat="false" ht="15" hidden="false" customHeight="false" outlineLevel="0" collapsed="false">
      <c r="A59" s="9" t="s">
        <v>192</v>
      </c>
      <c r="B59" s="21" t="n">
        <f aca="false">B12+B29+B46</f>
        <v>20</v>
      </c>
      <c r="C59" s="21" t="n">
        <f aca="false">C12+C29+C46</f>
        <v>70</v>
      </c>
      <c r="D59" s="21" t="n">
        <f aca="false">D12+D29+D46</f>
        <v>130</v>
      </c>
      <c r="E59" s="21" t="n">
        <f aca="false">E12+E29+E46</f>
        <v>130</v>
      </c>
      <c r="F59" s="21" t="n">
        <f aca="false">F12+F29+F46</f>
        <v>130</v>
      </c>
      <c r="G59" s="21" t="n">
        <f aca="false">G12+G29+G46</f>
        <v>130</v>
      </c>
    </row>
    <row r="60" customFormat="false" ht="15" hidden="false" customHeight="false" outlineLevel="0" collapsed="false">
      <c r="A60" s="9" t="s">
        <v>193</v>
      </c>
      <c r="B60" s="21" t="n">
        <f aca="false">B13+B30+B47</f>
        <v>29700</v>
      </c>
      <c r="C60" s="21" t="n">
        <f aca="false">C13+C30+C47</f>
        <v>147656.25</v>
      </c>
      <c r="D60" s="21" t="n">
        <f aca="false">D13+D30+D47</f>
        <v>327631.5</v>
      </c>
      <c r="E60" s="21" t="n">
        <f aca="false">E13+E30+E47</f>
        <v>431190</v>
      </c>
      <c r="F60" s="21" t="n">
        <f aca="false">F13+F30+F47</f>
        <v>456300</v>
      </c>
      <c r="G60" s="21" t="n">
        <f aca="false">G13+G30+G47</f>
        <v>456300</v>
      </c>
    </row>
    <row r="61" customFormat="false" ht="15" hidden="false" customHeight="false" outlineLevel="0" collapsed="false">
      <c r="A61" s="9" t="s">
        <v>11</v>
      </c>
      <c r="B61" s="22" t="n">
        <f aca="false">IF(B58=0,0,B60/B58/Assumptions!$B$26)</f>
        <v>2.0625</v>
      </c>
      <c r="C61" s="22" t="n">
        <f aca="false">IF(C58=0,0,C60/C58/Assumptions!$B$26)</f>
        <v>2.9296875</v>
      </c>
      <c r="D61" s="22" t="n">
        <f aca="false">IF(D58=0,0,D60/D58/Assumptions!$B$26)</f>
        <v>4.5504375</v>
      </c>
      <c r="E61" s="22" t="n">
        <f aca="false">IF(E58=0,0,E60/E58/Assumptions!$B$26)</f>
        <v>5.98875</v>
      </c>
      <c r="F61" s="22" t="n">
        <f aca="false">IF(F58=0,0,F60/F58/Assumptions!$B$26)</f>
        <v>6.3375</v>
      </c>
      <c r="G61" s="22" t="n">
        <f aca="false">IF(G58=0,0,G60/G58/Assumptions!$B$26)</f>
        <v>6.3375</v>
      </c>
    </row>
    <row r="62" customFormat="false" ht="15" hidden="false" customHeight="false" outlineLevel="0" collapsed="false">
      <c r="A62" s="9" t="s">
        <v>142</v>
      </c>
      <c r="B62" s="23" t="n">
        <f aca="false">B14+B31+B48</f>
        <v>15444000</v>
      </c>
      <c r="C62" s="23" t="n">
        <f aca="false">C14+C31+C48</f>
        <v>66980250</v>
      </c>
      <c r="D62" s="23" t="n">
        <f aca="false">D14+D31+D48</f>
        <v>132019740</v>
      </c>
      <c r="E62" s="23" t="n">
        <f aca="false">E14+E31+E48</f>
        <v>164732400</v>
      </c>
      <c r="F62" s="23" t="n">
        <f aca="false">F14+F31+F48</f>
        <v>171828000</v>
      </c>
      <c r="G62" s="23" t="n">
        <f aca="false">G14+G31+G48</f>
        <v>171828000</v>
      </c>
    </row>
    <row r="63" customFormat="false" ht="15" hidden="false" customHeight="false" outlineLevel="0" collapsed="false">
      <c r="A63" s="9" t="s">
        <v>194</v>
      </c>
      <c r="B63" s="23" t="n">
        <f aca="false">B15+B32+B49</f>
        <v>1232715.44117647</v>
      </c>
      <c r="C63" s="23" t="n">
        <f aca="false">C15+C32+C49</f>
        <v>7704471.50735294</v>
      </c>
      <c r="D63" s="23" t="n">
        <f aca="false">D15+D32+D49</f>
        <v>22158060.0551471</v>
      </c>
      <c r="E63" s="23" t="n">
        <f aca="false">E15+E32+E49</f>
        <v>35440568.9338235</v>
      </c>
      <c r="F63" s="23" t="n">
        <f aca="false">F15+F32+F49</f>
        <v>40063251.8382353</v>
      </c>
      <c r="G63" s="23" t="n">
        <f aca="false">G15+G32+G49</f>
        <v>40063251.8382353</v>
      </c>
    </row>
    <row r="64" customFormat="false" ht="15" hidden="false" customHeight="false" outlineLevel="0" collapsed="false">
      <c r="A64" s="9" t="s">
        <v>144</v>
      </c>
      <c r="B64" s="23" t="n">
        <f aca="false">B16+B33+B50</f>
        <v>440000</v>
      </c>
      <c r="C64" s="23" t="n">
        <f aca="false">C16+C33+C50</f>
        <v>2380000</v>
      </c>
      <c r="D64" s="23" t="n">
        <f aca="false">D16+D33+D50</f>
        <v>5592000</v>
      </c>
      <c r="E64" s="23" t="n">
        <f aca="false">E16+E33+E50</f>
        <v>7520000</v>
      </c>
      <c r="F64" s="23" t="n">
        <f aca="false">F16+F33+F50</f>
        <v>8000000</v>
      </c>
      <c r="G64" s="23" t="n">
        <f aca="false">G16+G33+G50</f>
        <v>8000000</v>
      </c>
    </row>
    <row r="65" customFormat="false" ht="15" hidden="false" customHeight="false" outlineLevel="0" collapsed="false">
      <c r="A65" s="9" t="s">
        <v>145</v>
      </c>
      <c r="B65" s="23" t="n">
        <f aca="false">B17+B34+B51</f>
        <v>705375</v>
      </c>
      <c r="C65" s="23" t="n">
        <f aca="false">C17+C34+C51</f>
        <v>3506835.9375</v>
      </c>
      <c r="D65" s="23" t="n">
        <f aca="false">D17+D34+D51</f>
        <v>7781248.125</v>
      </c>
      <c r="E65" s="23" t="n">
        <f aca="false">E17+E34+E51</f>
        <v>10240762.5</v>
      </c>
      <c r="F65" s="23" t="n">
        <f aca="false">F17+F34+F51</f>
        <v>10837125</v>
      </c>
      <c r="G65" s="23" t="n">
        <f aca="false">G17+G34+G51</f>
        <v>10837125</v>
      </c>
    </row>
    <row r="66" customFormat="false" ht="15" hidden="false" customHeight="false" outlineLevel="0" collapsed="false">
      <c r="A66" s="9" t="s">
        <v>146</v>
      </c>
      <c r="B66" s="23" t="n">
        <f aca="false">B18+B35+B52</f>
        <v>500000</v>
      </c>
      <c r="C66" s="23" t="n">
        <f aca="false">C18+C35+C52</f>
        <v>2250000</v>
      </c>
      <c r="D66" s="23" t="n">
        <f aca="false">D18+D35+D52</f>
        <v>4400000</v>
      </c>
      <c r="E66" s="23" t="n">
        <f aca="false">E18+E35+E52</f>
        <v>5000000</v>
      </c>
      <c r="F66" s="23" t="n">
        <f aca="false">F18+F35+F52</f>
        <v>5000000</v>
      </c>
      <c r="G66" s="23" t="n">
        <f aca="false">G18+G35+G52</f>
        <v>5000000</v>
      </c>
    </row>
    <row r="67" customFormat="false" ht="15" hidden="false" customHeight="false" outlineLevel="0" collapsed="false">
      <c r="A67" s="9" t="s">
        <v>195</v>
      </c>
      <c r="B67" s="32" t="n">
        <f aca="false">B62+B63+B64+B65</f>
        <v>17822090.4411765</v>
      </c>
      <c r="C67" s="32" t="n">
        <f aca="false">C62+C63+C64+C65</f>
        <v>80571557.444853</v>
      </c>
      <c r="D67" s="32" t="n">
        <f aca="false">D62+D63+D64+D65</f>
        <v>167551048.180147</v>
      </c>
      <c r="E67" s="32" t="n">
        <f aca="false">E62+E63+E64+E65</f>
        <v>217933731.433824</v>
      </c>
      <c r="F67" s="32" t="n">
        <f aca="false">F62+F63+F64+F65</f>
        <v>230728376.838235</v>
      </c>
      <c r="G67" s="32" t="n">
        <f aca="false">G62+G63+G64+G65</f>
        <v>230728376.838235</v>
      </c>
    </row>
    <row r="68" customFormat="false" ht="15" hidden="false" customHeight="false" outlineLevel="0" collapsed="false">
      <c r="A68" s="12" t="s">
        <v>12</v>
      </c>
      <c r="B68" s="30" t="n">
        <f aca="false">B67+B66</f>
        <v>18322090.4411765</v>
      </c>
      <c r="C68" s="30" t="n">
        <f aca="false">C67+C66</f>
        <v>82821557.444853</v>
      </c>
      <c r="D68" s="30" t="n">
        <f aca="false">D67+D66</f>
        <v>171951048.180147</v>
      </c>
      <c r="E68" s="30" t="n">
        <f aca="false">E67+E66</f>
        <v>222933731.433824</v>
      </c>
      <c r="F68" s="30" t="n">
        <f aca="false">F67+F66</f>
        <v>235728376.838235</v>
      </c>
      <c r="G68" s="30" t="n">
        <f aca="false">G67+G66</f>
        <v>235728376.838235</v>
      </c>
    </row>
    <row r="69" customFormat="false" ht="15" hidden="false" customHeight="false" outlineLevel="0" collapsed="false">
      <c r="A69" s="9" t="s">
        <v>147</v>
      </c>
      <c r="B69" s="23" t="n">
        <f aca="false">-B67*Assumptions!$B$24</f>
        <v>-3564418.0882353</v>
      </c>
      <c r="C69" s="23" t="n">
        <f aca="false">-C67*Assumptions!$B$24</f>
        <v>-16114311.4889706</v>
      </c>
      <c r="D69" s="23" t="n">
        <f aca="false">-D67*Assumptions!$B$24</f>
        <v>-33510209.6360294</v>
      </c>
      <c r="E69" s="23" t="n">
        <f aca="false">-E67*Assumptions!$B$24</f>
        <v>-43586746.2867647</v>
      </c>
      <c r="F69" s="23" t="n">
        <f aca="false">-F67*Assumptions!$B$24</f>
        <v>-46145675.3676471</v>
      </c>
      <c r="G69" s="23" t="n">
        <f aca="false">-G67*Assumptions!$B$24</f>
        <v>-46145675.3676471</v>
      </c>
    </row>
    <row r="70" customFormat="false" ht="15" hidden="false" customHeight="false" outlineLevel="0" collapsed="false">
      <c r="A70" s="9" t="s">
        <v>148</v>
      </c>
      <c r="B70" s="23" t="n">
        <f aca="false">-B67*Assumptions!$B$48</f>
        <v>-445552.261029412</v>
      </c>
      <c r="C70" s="23" t="n">
        <f aca="false">-C67*Assumptions!$B$48</f>
        <v>-2014288.93612132</v>
      </c>
      <c r="D70" s="23" t="n">
        <f aca="false">-D67*Assumptions!$B$48</f>
        <v>-4188776.20450368</v>
      </c>
      <c r="E70" s="23" t="n">
        <f aca="false">-E67*Assumptions!$B$48</f>
        <v>-5448343.28584559</v>
      </c>
      <c r="F70" s="23" t="n">
        <f aca="false">-F67*Assumptions!$B$48</f>
        <v>-5768209.42095588</v>
      </c>
      <c r="G70" s="23" t="n">
        <f aca="false">-G67*Assumptions!$B$48</f>
        <v>-5768209.42095588</v>
      </c>
    </row>
    <row r="71" customFormat="false" ht="15" hidden="false" customHeight="false" outlineLevel="0" collapsed="false">
      <c r="A71" s="9" t="s">
        <v>149</v>
      </c>
      <c r="B71" s="23" t="n">
        <f aca="false">-B68*Assumptions!$B$49</f>
        <v>-916104.522058824</v>
      </c>
      <c r="C71" s="23" t="n">
        <f aca="false">-C68*Assumptions!$B$49</f>
        <v>-4141077.87224265</v>
      </c>
      <c r="D71" s="23" t="n">
        <f aca="false">-D68*Assumptions!$B$49</f>
        <v>-8597552.40900735</v>
      </c>
      <c r="E71" s="23" t="n">
        <f aca="false">-E68*Assumptions!$B$49</f>
        <v>-11146686.5716912</v>
      </c>
      <c r="F71" s="23" t="n">
        <f aca="false">-F68*Assumptions!$B$49</f>
        <v>-11786418.8419118</v>
      </c>
      <c r="G71" s="23" t="n">
        <f aca="false">-G68*Assumptions!$B$49</f>
        <v>-11786418.8419118</v>
      </c>
    </row>
    <row r="72" customFormat="false" ht="15" hidden="false" customHeight="false" outlineLevel="0" collapsed="false">
      <c r="A72" s="9" t="s">
        <v>150</v>
      </c>
      <c r="B72" s="23" t="n">
        <f aca="false">-(B19+B36+B53)</f>
        <v>-888000</v>
      </c>
      <c r="C72" s="23" t="n">
        <f aca="false">-(C19+C36+C53)</f>
        <v>-3071000</v>
      </c>
      <c r="D72" s="23" t="n">
        <f aca="false">-(D19+D36+D53)</f>
        <v>-5067520</v>
      </c>
      <c r="E72" s="23" t="n">
        <f aca="false">-(E19+E36+E53)</f>
        <v>-5535200</v>
      </c>
      <c r="F72" s="23" t="n">
        <f aca="false">-(F19+F36+F53)</f>
        <v>-5535200</v>
      </c>
      <c r="G72" s="23" t="n">
        <f aca="false">-(G19+G36+G53)</f>
        <v>-5535200</v>
      </c>
    </row>
    <row r="73" customFormat="false" ht="15" hidden="false" customHeight="false" outlineLevel="0" collapsed="false">
      <c r="A73" s="9" t="s">
        <v>151</v>
      </c>
      <c r="B73" s="23" t="n">
        <f aca="false">-(B20+B37+B54)</f>
        <v>-480000</v>
      </c>
      <c r="C73" s="23" t="n">
        <f aca="false">-(C20+C37+C54)</f>
        <v>-2160000</v>
      </c>
      <c r="D73" s="23" t="n">
        <f aca="false">-(D20+D37+D54)</f>
        <v>-4224000</v>
      </c>
      <c r="E73" s="23" t="n">
        <f aca="false">-(E20+E37+E54)</f>
        <v>-4800000</v>
      </c>
      <c r="F73" s="23" t="n">
        <f aca="false">-(F20+F37+F54)</f>
        <v>-4800000</v>
      </c>
      <c r="G73" s="23" t="n">
        <f aca="false">-(G20+G37+G54)</f>
        <v>-4800000</v>
      </c>
    </row>
    <row r="74" customFormat="false" ht="15" hidden="false" customHeight="false" outlineLevel="0" collapsed="false">
      <c r="A74" s="9" t="s">
        <v>152</v>
      </c>
      <c r="B74" s="23" t="n">
        <f aca="false">-(B21+B38+B55)</f>
        <v>-288600</v>
      </c>
      <c r="C74" s="23" t="n">
        <f aca="false">-(C21+C38+C55)</f>
        <v>-998075</v>
      </c>
      <c r="D74" s="23" t="n">
        <f aca="false">-(D21+D38+D55)</f>
        <v>-1646944</v>
      </c>
      <c r="E74" s="23" t="n">
        <f aca="false">-(E21+E38+E55)</f>
        <v>-1798940</v>
      </c>
      <c r="F74" s="23" t="n">
        <f aca="false">-(F21+F38+F55)</f>
        <v>-1798940</v>
      </c>
      <c r="G74" s="23" t="n">
        <f aca="false">-(G21+G38+G55)</f>
        <v>-1798940</v>
      </c>
    </row>
    <row r="75" customFormat="false" ht="15" hidden="false" customHeight="false" outlineLevel="0" collapsed="false">
      <c r="A75" s="9" t="s">
        <v>196</v>
      </c>
      <c r="B75" s="5" t="n">
        <f aca="false">-Assumptions!B75</f>
        <v>-4000000</v>
      </c>
      <c r="C75" s="5" t="n">
        <f aca="false">-Assumptions!C75</f>
        <v>-8000000</v>
      </c>
      <c r="D75" s="5" t="n">
        <f aca="false">-Assumptions!D75</f>
        <v>-11000000</v>
      </c>
      <c r="E75" s="5" t="n">
        <f aca="false">-Assumptions!E75</f>
        <v>-12000000</v>
      </c>
      <c r="F75" s="5" t="n">
        <f aca="false">-Assumptions!F75</f>
        <v>-12000000</v>
      </c>
      <c r="G75" s="5" t="n">
        <f aca="false">-Assumptions!G75</f>
        <v>-12000000</v>
      </c>
    </row>
    <row r="76" customFormat="false" ht="15" hidden="false" customHeight="false" outlineLevel="0" collapsed="false">
      <c r="A76" s="9" t="s">
        <v>134</v>
      </c>
      <c r="B76" s="5" t="n">
        <f aca="false">-Assumptions!B76</f>
        <v>-2000000</v>
      </c>
      <c r="C76" s="5" t="n">
        <f aca="false">-Assumptions!C76</f>
        <v>-3000000</v>
      </c>
      <c r="D76" s="5" t="n">
        <f aca="false">-Assumptions!D76</f>
        <v>-4000000</v>
      </c>
      <c r="E76" s="5" t="n">
        <f aca="false">-Assumptions!E76</f>
        <v>-4000000</v>
      </c>
      <c r="F76" s="5" t="n">
        <f aca="false">-Assumptions!F76</f>
        <v>-4000000</v>
      </c>
      <c r="G76" s="5" t="n">
        <f aca="false">-Assumptions!G76</f>
        <v>-4000000</v>
      </c>
    </row>
    <row r="77" customFormat="false" ht="15" hidden="false" customHeight="false" outlineLevel="0" collapsed="false">
      <c r="A77" s="12" t="s">
        <v>14</v>
      </c>
      <c r="B77" s="27" t="n">
        <f aca="false">SUM(B68:B76)</f>
        <v>5739415.56985294</v>
      </c>
      <c r="C77" s="27" t="n">
        <f aca="false">SUM(C68:C76)</f>
        <v>43322804.1475184</v>
      </c>
      <c r="D77" s="27" t="n">
        <f aca="false">SUM(D68:D76)</f>
        <v>99716045.9306066</v>
      </c>
      <c r="E77" s="27" t="n">
        <f aca="false">SUM(E68:E76)</f>
        <v>134617815.289522</v>
      </c>
      <c r="F77" s="27" t="n">
        <f aca="false">SUM(F68:F76)</f>
        <v>143893933.207721</v>
      </c>
      <c r="G77" s="27" t="n">
        <f aca="false">SUM(G68:G76)</f>
        <v>143893933.207721</v>
      </c>
    </row>
    <row r="78" customFormat="false" ht="15" hidden="false" customHeight="false" outlineLevel="0" collapsed="false">
      <c r="A78" s="9" t="s">
        <v>15</v>
      </c>
      <c r="B78" s="18" t="n">
        <f aca="false">IF(B68=0,0,B77/B68)</f>
        <v>0.313251131920753</v>
      </c>
      <c r="C78" s="18" t="n">
        <f aca="false">IF(C68=0,0,C77/C68)</f>
        <v>0.523086083914385</v>
      </c>
      <c r="D78" s="18" t="n">
        <f aca="false">IF(D68=0,0,D77/D68)</f>
        <v>0.579909497417763</v>
      </c>
      <c r="E78" s="18" t="n">
        <f aca="false">IF(E68=0,0,E77/E68)</f>
        <v>0.603846777352679</v>
      </c>
      <c r="F78" s="18" t="n">
        <f aca="false">IF(F68=0,0,F77/F68)</f>
        <v>0.610422619193044</v>
      </c>
      <c r="G78" s="18" t="n">
        <f aca="false">IF(G68=0,0,G77/G68)</f>
        <v>0.610422619193044</v>
      </c>
    </row>
    <row r="79" customFormat="false" ht="15" hidden="false" customHeight="false" outlineLevel="0" collapsed="false">
      <c r="A79" s="9" t="s">
        <v>197</v>
      </c>
      <c r="B79" s="5" t="n">
        <f aca="false">-Debt!B93</f>
        <v>-6233760</v>
      </c>
      <c r="C79" s="5" t="n">
        <f aca="false">-Debt!C93</f>
        <v>-14890537.1904932</v>
      </c>
      <c r="D79" s="5" t="n">
        <f aca="false">-Debt!D93</f>
        <v>-17338233.6726889</v>
      </c>
      <c r="E79" s="5" t="n">
        <f aca="false">-Debt!E93</f>
        <v>-14407561.2708722</v>
      </c>
      <c r="F79" s="5" t="n">
        <f aca="false">-Debt!F93</f>
        <v>-10753709.376914</v>
      </c>
      <c r="G79" s="5" t="n">
        <f aca="false">-Debt!G93</f>
        <v>-6636457.60640671</v>
      </c>
    </row>
    <row r="80" customFormat="false" ht="15" hidden="false" customHeight="false" outlineLevel="0" collapsed="false">
      <c r="A80" s="9" t="s">
        <v>198</v>
      </c>
      <c r="B80" s="5" t="n">
        <f aca="false">-Debt!B94</f>
        <v>-0</v>
      </c>
      <c r="C80" s="5" t="n">
        <f aca="false">-Debt!C94</f>
        <v>-8067017.62953011</v>
      </c>
      <c r="D80" s="5" t="n">
        <f aca="false">-Debt!D94</f>
        <v>-20854518.0932018</v>
      </c>
      <c r="E80" s="5" t="n">
        <f aca="false">-Debt!E94</f>
        <v>-28810179.5848672</v>
      </c>
      <c r="F80" s="5" t="n">
        <f aca="false">-Debt!F94</f>
        <v>-32464031.4788254</v>
      </c>
      <c r="G80" s="5" t="n">
        <f aca="false">-Debt!G94</f>
        <v>-36581283.2493326</v>
      </c>
    </row>
    <row r="81" customFormat="false" ht="15" hidden="false" customHeight="false" outlineLevel="0" collapsed="false">
      <c r="A81" s="12" t="s">
        <v>16</v>
      </c>
      <c r="B81" s="30" t="n">
        <f aca="false">B79+B80</f>
        <v>-6233760</v>
      </c>
      <c r="C81" s="30" t="n">
        <f aca="false">C79+C80</f>
        <v>-22957554.8200233</v>
      </c>
      <c r="D81" s="30" t="n">
        <f aca="false">D79+D80</f>
        <v>-38192751.7658907</v>
      </c>
      <c r="E81" s="30" t="n">
        <f aca="false">E79+E80</f>
        <v>-43217740.8557394</v>
      </c>
      <c r="F81" s="30" t="n">
        <f aca="false">F79+F80</f>
        <v>-43217740.8557394</v>
      </c>
      <c r="G81" s="30" t="n">
        <f aca="false">G79+G80</f>
        <v>-43217740.8557394</v>
      </c>
    </row>
    <row r="82" customFormat="false" ht="15" hidden="false" customHeight="false" outlineLevel="0" collapsed="false">
      <c r="A82" s="9" t="s">
        <v>199</v>
      </c>
      <c r="B82" s="33" t="n">
        <f aca="false">IF(B81=0,0,B77/-B81)</f>
        <v>0.920698835029411</v>
      </c>
      <c r="C82" s="33" t="n">
        <f aca="false">IF(C81=0,0,C77/-C81)</f>
        <v>1.88708268311452</v>
      </c>
      <c r="D82" s="33" t="n">
        <f aca="false">IF(D81=0,0,D77/-D81)</f>
        <v>2.6108630910345</v>
      </c>
      <c r="E82" s="33" t="n">
        <f aca="false">IF(E81=0,0,E77/-E81)</f>
        <v>3.11487395277962</v>
      </c>
      <c r="F82" s="33" t="n">
        <f aca="false">IF(F81=0,0,F77/-F81)</f>
        <v>3.32951076013061</v>
      </c>
      <c r="G82" s="33" t="n">
        <f aca="false">IF(G81=0,0,G77/-G81)</f>
        <v>3.32951076013061</v>
      </c>
    </row>
    <row r="83" customFormat="false" ht="15" hidden="false" customHeight="false" outlineLevel="0" collapsed="false">
      <c r="A83" s="12" t="s">
        <v>18</v>
      </c>
      <c r="B83" s="27" t="n">
        <f aca="false">B77+B81</f>
        <v>-494344.430147056</v>
      </c>
      <c r="C83" s="27" t="n">
        <f aca="false">C77+C81</f>
        <v>20365249.3274951</v>
      </c>
      <c r="D83" s="27" t="n">
        <f aca="false">D77+D81</f>
        <v>61523294.1647159</v>
      </c>
      <c r="E83" s="27" t="n">
        <f aca="false">E77+E81</f>
        <v>91400074.4337827</v>
      </c>
      <c r="F83" s="27" t="n">
        <f aca="false">F77+F81</f>
        <v>100676192.351981</v>
      </c>
      <c r="G83" s="27" t="n">
        <f aca="false">G77+G81</f>
        <v>100676192.351981</v>
      </c>
    </row>
    <row r="84" customFormat="false" ht="15" hidden="false" customHeight="false" outlineLevel="0" collapsed="false">
      <c r="A84" s="9" t="s">
        <v>184</v>
      </c>
      <c r="B84" s="23" t="n">
        <f aca="false">B10+B27+B44</f>
        <v>57720000</v>
      </c>
      <c r="C84" s="23" t="n">
        <f aca="false">C10+C27+C44</f>
        <v>84175000</v>
      </c>
      <c r="D84" s="23" t="n">
        <f aca="false">D10+D27+D44</f>
        <v>37999000</v>
      </c>
      <c r="E84" s="23" t="n">
        <f aca="false">E10+E27+E44</f>
        <v>0</v>
      </c>
      <c r="F84" s="23" t="n">
        <f aca="false">F10+F27+F44</f>
        <v>0</v>
      </c>
      <c r="G84" s="23" t="n">
        <f aca="false">G10+G27+G44</f>
        <v>0</v>
      </c>
    </row>
    <row r="85" customFormat="false" ht="15" hidden="false" customHeight="false" outlineLevel="0" collapsed="false">
      <c r="A85" s="9" t="s">
        <v>200</v>
      </c>
      <c r="B85" s="23" t="n">
        <f aca="false">-B84*(1-Assumptions!$B$18)</f>
        <v>-5772000</v>
      </c>
      <c r="C85" s="23" t="n">
        <f aca="false">-C84*(1-Assumptions!$B$18)</f>
        <v>-8417500</v>
      </c>
      <c r="D85" s="23" t="n">
        <f aca="false">-D84*(1-Assumptions!$B$18)</f>
        <v>-3799900</v>
      </c>
      <c r="E85" s="23" t="n">
        <f aca="false">-E84*(1-Assumptions!$B$18)</f>
        <v>-0</v>
      </c>
      <c r="F85" s="23" t="n">
        <f aca="false">-F84*(1-Assumptions!$B$18)</f>
        <v>-0</v>
      </c>
      <c r="G85" s="23" t="n">
        <f aca="false">-G84*(1-Assumptions!$B$18)</f>
        <v>-0</v>
      </c>
    </row>
    <row r="86" customFormat="false" ht="15" hidden="false" customHeight="false" outlineLevel="0" collapsed="false">
      <c r="A86" s="12" t="s">
        <v>201</v>
      </c>
      <c r="B86" s="30" t="n">
        <f aca="false">B83+B85</f>
        <v>-6266344.43014706</v>
      </c>
      <c r="C86" s="30" t="n">
        <f aca="false">C83+C85+B86</f>
        <v>5681404.89734802</v>
      </c>
      <c r="D86" s="30" t="n">
        <f aca="false">D83+D85+C86</f>
        <v>63404799.062064</v>
      </c>
      <c r="E86" s="30" t="n">
        <f aca="false">E83+E85+D86</f>
        <v>154804873.495847</v>
      </c>
      <c r="F86" s="30" t="n">
        <f aca="false">F83+F85+E86</f>
        <v>255481065.847828</v>
      </c>
      <c r="G86" s="30" t="n">
        <f aca="false">G83+G85+F86</f>
        <v>356157258.199809</v>
      </c>
    </row>
    <row r="87" customFormat="false" ht="15" hidden="false" customHeight="false" outlineLevel="0" collapsed="false">
      <c r="A87" s="9" t="s">
        <v>202</v>
      </c>
      <c r="B87" s="23" t="n">
        <f aca="false">-B69</f>
        <v>3564418.0882353</v>
      </c>
      <c r="C87" s="23" t="n">
        <f aca="false">-C69</f>
        <v>16114311.4889706</v>
      </c>
      <c r="D87" s="23" t="n">
        <f aca="false">-D69</f>
        <v>33510209.6360294</v>
      </c>
      <c r="E87" s="23" t="n">
        <f aca="false">-E69</f>
        <v>43586746.2867647</v>
      </c>
      <c r="F87" s="23" t="n">
        <f aca="false">-F69</f>
        <v>46145675.3676471</v>
      </c>
      <c r="G87" s="23" t="n">
        <f aca="false">-G69</f>
        <v>46145675.3676471</v>
      </c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</row>
    <row r="89" customFormat="false" ht="15" hidden="false" customHeight="false" outlineLevel="0" collapsed="false">
      <c r="A89" s="12" t="s">
        <v>203</v>
      </c>
      <c r="B89" s="34" t="n">
        <f aca="false">-MIN(B86:G86)</f>
        <v>6266344.43014706</v>
      </c>
      <c r="C89" s="2"/>
      <c r="D89" s="2"/>
      <c r="E89" s="2"/>
      <c r="F89" s="2"/>
      <c r="G8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8"/>
  </cols>
  <sheetData>
    <row r="1" customFormat="false" ht="17.35" hidden="false" customHeight="false" outlineLevel="0" collapsed="false">
      <c r="A1" s="1" t="s">
        <v>206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207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8" t="s">
        <v>208</v>
      </c>
      <c r="B4" s="8" t="s">
        <v>209</v>
      </c>
      <c r="C4" s="8" t="s">
        <v>159</v>
      </c>
      <c r="D4" s="8" t="s">
        <v>13</v>
      </c>
      <c r="E4" s="8" t="s">
        <v>210</v>
      </c>
      <c r="F4" s="8" t="s">
        <v>16</v>
      </c>
      <c r="G4" s="8" t="s">
        <v>17</v>
      </c>
      <c r="H4" s="8" t="s">
        <v>211</v>
      </c>
    </row>
    <row r="5" customFormat="false" ht="15" hidden="false" customHeight="false" outlineLevel="0" collapsed="false">
      <c r="A5" s="9" t="s">
        <v>212</v>
      </c>
      <c r="B5" s="17" t="n">
        <v>0.15</v>
      </c>
      <c r="C5" s="6" t="n">
        <f aca="false">Debt!$D$5*(1+IF($A5="Get Lucky Golf",Assumptions!$B$21-Assumptions!$B$20,0)*SUM(Assumptions!$D$69:$F$69)/Debt!$D$5)+Debt!$J$5*(1+IF($A5="Get Lucky Golf",Assumptions!$B$21-Assumptions!$B$20,0)*SUM(Assumptions!$D$70:$F$70)/Debt!$J$5)+Debt!$P$5*(1+IF($A5="Get Lucky Golf",Assumptions!$B$21-Assumptions!$B$20,0)*SUM(Assumptions!$D$71:$F$71)/Debt!$P$5)</f>
        <v>179894000</v>
      </c>
      <c r="D5" s="6" t="n">
        <f aca="false">Chain!F67*$B5</f>
        <v>27927405.2205882</v>
      </c>
      <c r="E5" s="6" t="n">
        <f aca="false">Chain!F77-($B5-Assumptions!$B$24)*Chain!F67-IF($A5="Get Lucky Golf",Assumptions!$B$21-Assumptions!$B$20,0)*(SUM(Assumptions!$D$69:$F$69)*Chain!F8+SUM(Assumptions!$D$70:$F$70)*Chain!F25+SUM(Assumptions!$D$71:$F$71)*Chain!F42)*Assumptions!$B$50</f>
        <v>120907453.639706</v>
      </c>
      <c r="F5" s="6" t="n">
        <f aca="false">(Debt!F87+Debt!F88)*(1+IF($A5="Get Lucky Golf",Assumptions!$B$21-Assumptions!$B$20,0)*SUM(Assumptions!$D$69:$F$69)/Debt!$D$5)+(Debt!F89+Debt!F90)*(1+IF($A5="Get Lucky Golf",Assumptions!$B$21-Assumptions!$B$20,0)*SUM(Assumptions!$D$70:$F$70)/Debt!$J$5)+(Debt!F91+Debt!F92)*(1+IF($A5="Get Lucky Golf",Assumptions!$B$21-Assumptions!$B$20,0)*SUM(Assumptions!$D$71:$F$71)/Debt!$P$5)</f>
        <v>43217740.8557393</v>
      </c>
      <c r="G5" s="35" t="n">
        <f aca="false">IF(F5=0,0,E5/F5)</f>
        <v>2.7976347501202</v>
      </c>
      <c r="H5" s="30" t="n">
        <f aca="false">-MIN(C16:H16)</f>
        <v>8069463.92647059</v>
      </c>
    </row>
    <row r="6" customFormat="false" ht="15" hidden="false" customHeight="false" outlineLevel="0" collapsed="false">
      <c r="A6" s="9" t="s">
        <v>212</v>
      </c>
      <c r="B6" s="17" t="n">
        <v>0.2</v>
      </c>
      <c r="C6" s="6" t="n">
        <f aca="false">Debt!$D$5*(1+IF($A6="Get Lucky Golf",Assumptions!$B$21-Assumptions!$B$20,0)*SUM(Assumptions!$D$69:$F$69)/Debt!$D$5)+Debt!$J$5*(1+IF($A6="Get Lucky Golf",Assumptions!$B$21-Assumptions!$B$20,0)*SUM(Assumptions!$D$70:$F$70)/Debt!$J$5)+Debt!$P$5*(1+IF($A6="Get Lucky Golf",Assumptions!$B$21-Assumptions!$B$20,0)*SUM(Assumptions!$D$71:$F$71)/Debt!$P$5)</f>
        <v>179894000</v>
      </c>
      <c r="D6" s="6" t="n">
        <f aca="false">Chain!F67*$B6</f>
        <v>37236540.2941177</v>
      </c>
      <c r="E6" s="6" t="n">
        <f aca="false">Chain!F77-($B6-Assumptions!$B$24)*Chain!F67-IF($A6="Get Lucky Golf",Assumptions!$B$21-Assumptions!$B$20,0)*(SUM(Assumptions!$D$69:$F$69)*Chain!F8+SUM(Assumptions!$D$70:$F$70)*Chain!F25+SUM(Assumptions!$D$71:$F$71)*Chain!F42)*Assumptions!$B$50</f>
        <v>111598318.566176</v>
      </c>
      <c r="F6" s="6" t="n">
        <f aca="false">(Debt!F87+Debt!F88)*(1+IF($A6="Get Lucky Golf",Assumptions!$B$21-Assumptions!$B$20,0)*SUM(Assumptions!$D$69:$F$69)/Debt!$D$5)+(Debt!F89+Debt!F90)*(1+IF($A6="Get Lucky Golf",Assumptions!$B$21-Assumptions!$B$20,0)*SUM(Assumptions!$D$70:$F$70)/Debt!$J$5)+(Debt!F91+Debt!F92)*(1+IF($A6="Get Lucky Golf",Assumptions!$B$21-Assumptions!$B$20,0)*SUM(Assumptions!$D$71:$F$71)/Debt!$P$5)</f>
        <v>43217740.8557393</v>
      </c>
      <c r="G6" s="35" t="n">
        <f aca="false">IF(F6=0,0,E6/F6)</f>
        <v>2.5822339705051</v>
      </c>
      <c r="H6" s="30" t="n">
        <f aca="false">-MIN(C17:H17)</f>
        <v>8786747.54411764</v>
      </c>
    </row>
    <row r="7" customFormat="false" ht="15" hidden="false" customHeight="false" outlineLevel="0" collapsed="false">
      <c r="A7" s="9" t="s">
        <v>212</v>
      </c>
      <c r="B7" s="17" t="n">
        <v>0.25</v>
      </c>
      <c r="C7" s="6" t="n">
        <f aca="false">Debt!$D$5*(1+IF($A7="Get Lucky Golf",Assumptions!$B$21-Assumptions!$B$20,0)*SUM(Assumptions!$D$69:$F$69)/Debt!$D$5)+Debt!$J$5*(1+IF($A7="Get Lucky Golf",Assumptions!$B$21-Assumptions!$B$20,0)*SUM(Assumptions!$D$70:$F$70)/Debt!$J$5)+Debt!$P$5*(1+IF($A7="Get Lucky Golf",Assumptions!$B$21-Assumptions!$B$20,0)*SUM(Assumptions!$D$71:$F$71)/Debt!$P$5)</f>
        <v>179894000</v>
      </c>
      <c r="D7" s="6" t="n">
        <f aca="false">Chain!F67*$B7</f>
        <v>46545675.3676471</v>
      </c>
      <c r="E7" s="6" t="n">
        <f aca="false">Chain!F77-($B7-Assumptions!$B$24)*Chain!F67-IF($A7="Get Lucky Golf",Assumptions!$B$21-Assumptions!$B$20,0)*(SUM(Assumptions!$D$69:$F$69)*Chain!F8+SUM(Assumptions!$D$70:$F$70)*Chain!F25+SUM(Assumptions!$D$71:$F$71)*Chain!F42)*Assumptions!$B$50</f>
        <v>102289183.492647</v>
      </c>
      <c r="F7" s="6" t="n">
        <f aca="false">(Debt!F87+Debt!F88)*(1+IF($A7="Get Lucky Golf",Assumptions!$B$21-Assumptions!$B$20,0)*SUM(Assumptions!$D$69:$F$69)/Debt!$D$5)+(Debt!F89+Debt!F90)*(1+IF($A7="Get Lucky Golf",Assumptions!$B$21-Assumptions!$B$20,0)*SUM(Assumptions!$D$70:$F$70)/Debt!$J$5)+(Debt!F91+Debt!F92)*(1+IF($A7="Get Lucky Golf",Assumptions!$B$21-Assumptions!$B$20,0)*SUM(Assumptions!$D$71:$F$71)/Debt!$P$5)</f>
        <v>43217740.8557393</v>
      </c>
      <c r="G7" s="35" t="n">
        <f aca="false">IF(F7=0,0,E7/F7)</f>
        <v>2.36683319089001</v>
      </c>
      <c r="H7" s="30" t="n">
        <f aca="false">-MIN(C18:H18)</f>
        <v>12140719.9615674</v>
      </c>
    </row>
    <row r="8" customFormat="false" ht="15" hidden="false" customHeight="false" outlineLevel="0" collapsed="false">
      <c r="A8" s="9" t="s">
        <v>213</v>
      </c>
      <c r="B8" s="17" t="n">
        <v>0.15</v>
      </c>
      <c r="C8" s="6" t="n">
        <f aca="false">Debt!$D$5*(1+IF($A8="Get Lucky Golf",Assumptions!$B$21-Assumptions!$B$20,0)*SUM(Assumptions!$D$69:$F$69)/Debt!$D$5)+Debt!$J$5*(1+IF($A8="Get Lucky Golf",Assumptions!$B$21-Assumptions!$B$20,0)*SUM(Assumptions!$D$70:$F$70)/Debt!$J$5)+Debt!$P$5*(1+IF($A8="Get Lucky Golf",Assumptions!$B$21-Assumptions!$B$20,0)*SUM(Assumptions!$D$71:$F$71)/Debt!$P$5)</f>
        <v>209894000</v>
      </c>
      <c r="D8" s="6" t="n">
        <f aca="false">Chain!F67*$B8</f>
        <v>27927405.2205882</v>
      </c>
      <c r="E8" s="6" t="n">
        <f aca="false">Chain!F77-($B8-Assumptions!$B$24)*Chain!F67-IF($A8="Get Lucky Golf",Assumptions!$B$21-Assumptions!$B$20,0)*(SUM(Assumptions!$D$69:$F$69)*Chain!F8+SUM(Assumptions!$D$70:$F$70)*Chain!F25+SUM(Assumptions!$D$71:$F$71)*Chain!F42)*Assumptions!$B$50</f>
        <v>120607453.639706</v>
      </c>
      <c r="F8" s="6" t="n">
        <f aca="false">(Debt!F87+Debt!F88)*(1+IF($A8="Get Lucky Golf",Assumptions!$B$21-Assumptions!$B$20,0)*SUM(Assumptions!$D$69:$F$69)/Debt!$D$5)+(Debt!F89+Debt!F90)*(1+IF($A8="Get Lucky Golf",Assumptions!$B$21-Assumptions!$B$20,0)*SUM(Assumptions!$D$70:$F$70)/Debt!$J$5)+(Debt!F91+Debt!F92)*(1+IF($A8="Get Lucky Golf",Assumptions!$B$21-Assumptions!$B$20,0)*SUM(Assumptions!$D$71:$F$71)/Debt!$P$5)</f>
        <v>50424941.9056475</v>
      </c>
      <c r="G8" s="35" t="n">
        <f aca="false">IF(F8=0,0,E8/F8)</f>
        <v>2.39182137017391</v>
      </c>
      <c r="H8" s="30" t="n">
        <f aca="false">-MIN(C19:H19)</f>
        <v>10187268.3406667</v>
      </c>
    </row>
    <row r="9" customFormat="false" ht="15" hidden="false" customHeight="false" outlineLevel="0" collapsed="false">
      <c r="A9" s="9" t="s">
        <v>213</v>
      </c>
      <c r="B9" s="17" t="n">
        <v>0.2</v>
      </c>
      <c r="C9" s="6" t="n">
        <f aca="false">Debt!$D$5*(1+IF($A9="Get Lucky Golf",Assumptions!$B$21-Assumptions!$B$20,0)*SUM(Assumptions!$D$69:$F$69)/Debt!$D$5)+Debt!$J$5*(1+IF($A9="Get Lucky Golf",Assumptions!$B$21-Assumptions!$B$20,0)*SUM(Assumptions!$D$70:$F$70)/Debt!$J$5)+Debt!$P$5*(1+IF($A9="Get Lucky Golf",Assumptions!$B$21-Assumptions!$B$20,0)*SUM(Assumptions!$D$71:$F$71)/Debt!$P$5)</f>
        <v>209894000</v>
      </c>
      <c r="D9" s="6" t="n">
        <f aca="false">Chain!F67*$B9</f>
        <v>37236540.2941177</v>
      </c>
      <c r="E9" s="6" t="n">
        <f aca="false">Chain!F77-($B9-Assumptions!$B$24)*Chain!F67-IF($A9="Get Lucky Golf",Assumptions!$B$21-Assumptions!$B$20,0)*(SUM(Assumptions!$D$69:$F$69)*Chain!F8+SUM(Assumptions!$D$70:$F$70)*Chain!F25+SUM(Assumptions!$D$71:$F$71)*Chain!F42)*Assumptions!$B$50</f>
        <v>111298318.566176</v>
      </c>
      <c r="F9" s="6" t="n">
        <f aca="false">(Debt!F87+Debt!F88)*(1+IF($A9="Get Lucky Golf",Assumptions!$B$21-Assumptions!$B$20,0)*SUM(Assumptions!$D$69:$F$69)/Debt!$D$5)+(Debt!F89+Debt!F90)*(1+IF($A9="Get Lucky Golf",Assumptions!$B$21-Assumptions!$B$20,0)*SUM(Assumptions!$D$70:$F$70)/Debt!$J$5)+(Debt!F91+Debt!F92)*(1+IF($A9="Get Lucky Golf",Assumptions!$B$21-Assumptions!$B$20,0)*SUM(Assumptions!$D$71:$F$71)/Debt!$P$5)</f>
        <v>50424941.9056475</v>
      </c>
      <c r="G9" s="35" t="n">
        <f aca="false">IF(F9=0,0,E9/F9)</f>
        <v>2.20720767064902</v>
      </c>
      <c r="H9" s="30" t="n">
        <f aca="false">-MIN(C20:H20)</f>
        <v>14151214.2561079</v>
      </c>
    </row>
    <row r="10" customFormat="false" ht="15" hidden="false" customHeight="false" outlineLevel="0" collapsed="false">
      <c r="A10" s="9" t="s">
        <v>213</v>
      </c>
      <c r="B10" s="17" t="n">
        <v>0.25</v>
      </c>
      <c r="C10" s="6" t="n">
        <f aca="false">Debt!$D$5*(1+IF($A10="Get Lucky Golf",Assumptions!$B$21-Assumptions!$B$20,0)*SUM(Assumptions!$D$69:$F$69)/Debt!$D$5)+Debt!$J$5*(1+IF($A10="Get Lucky Golf",Assumptions!$B$21-Assumptions!$B$20,0)*SUM(Assumptions!$D$70:$F$70)/Debt!$J$5)+Debt!$P$5*(1+IF($A10="Get Lucky Golf",Assumptions!$B$21-Assumptions!$B$20,0)*SUM(Assumptions!$D$71:$F$71)/Debt!$P$5)</f>
        <v>209894000</v>
      </c>
      <c r="D10" s="6" t="n">
        <f aca="false">Chain!F67*$B10</f>
        <v>46545675.3676471</v>
      </c>
      <c r="E10" s="6" t="n">
        <f aca="false">Chain!F77-($B10-Assumptions!$B$24)*Chain!F67-IF($A10="Get Lucky Golf",Assumptions!$B$21-Assumptions!$B$20,0)*(SUM(Assumptions!$D$69:$F$69)*Chain!F8+SUM(Assumptions!$D$70:$F$70)*Chain!F25+SUM(Assumptions!$D$71:$F$71)*Chain!F42)*Assumptions!$B$50</f>
        <v>101989183.492647</v>
      </c>
      <c r="F10" s="6" t="n">
        <f aca="false">(Debt!F87+Debt!F88)*(1+IF($A10="Get Lucky Golf",Assumptions!$B$21-Assumptions!$B$20,0)*SUM(Assumptions!$D$69:$F$69)/Debt!$D$5)+(Debt!F89+Debt!F90)*(1+IF($A10="Get Lucky Golf",Assumptions!$B$21-Assumptions!$B$20,0)*SUM(Assumptions!$D$70:$F$70)/Debt!$J$5)+(Debt!F91+Debt!F92)*(1+IF($A10="Get Lucky Golf",Assumptions!$B$21-Assumptions!$B$20,0)*SUM(Assumptions!$D$71:$F$71)/Debt!$P$5)</f>
        <v>50424941.9056475</v>
      </c>
      <c r="G10" s="35" t="n">
        <f aca="false">IF(F10=0,0,E10/F10)</f>
        <v>2.02259397112413</v>
      </c>
      <c r="H10" s="30" t="n">
        <f aca="false">-MIN(C21:H21)</f>
        <v>18115160.1715491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15" t="s">
        <v>214</v>
      </c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4" t="s">
        <v>215</v>
      </c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8" t="s">
        <v>127</v>
      </c>
      <c r="D15" s="8" t="s">
        <v>128</v>
      </c>
      <c r="E15" s="8" t="s">
        <v>129</v>
      </c>
      <c r="F15" s="8" t="s">
        <v>130</v>
      </c>
      <c r="G15" s="8" t="s">
        <v>131</v>
      </c>
      <c r="H15" s="8" t="s">
        <v>132</v>
      </c>
    </row>
    <row r="16" customFormat="false" ht="15" hidden="false" customHeight="false" outlineLevel="0" collapsed="false">
      <c r="A16" s="9" t="s">
        <v>212</v>
      </c>
      <c r="B16" s="36" t="n">
        <f aca="false">B5</f>
        <v>0.15</v>
      </c>
      <c r="C16" s="6" t="n">
        <f aca="false">(Chain!B77-($B16-Assumptions!$B$24)*Chain!B67-IF($A16="Get Lucky Golf",Assumptions!$B$21-Assumptions!$B$20,0)*(SUM(Assumptions!$D$69:$F$69)*Chain!B8+SUM(Assumptions!$D$70:$F$70)*Chain!B25+SUM(Assumptions!$D$71:$F$71)*Chain!B42)*Assumptions!$B$50)-((Debt!B87+Debt!B88)*(1+IF($A16="Get Lucky Golf",Assumptions!$B$21-Assumptions!$B$20,0)*SUM(Assumptions!$D$69:$F$69)/Debt!$D$5)+(Debt!B89+Debt!B90)*(1+IF($A16="Get Lucky Golf",Assumptions!$B$21-Assumptions!$B$20,0)*SUM(Assumptions!$D$70:$F$70)/Debt!$J$5)+(Debt!B91+Debt!B92)*(1+IF($A16="Get Lucky Golf",Assumptions!$B$21-Assumptions!$B$20,0)*SUM(Assumptions!$D$71:$F$71)/Debt!$P$5))-(Chain!B10*(1-Assumptions!$B$18)*(1+IF($A16="Get Lucky Golf",Assumptions!$B$21-Assumptions!$B$20,0)*SUM(Assumptions!$D$69:$F$69)/Debt!$D$5)+Chain!B27*(1-Assumptions!$B$18)*(1+IF($A16="Get Lucky Golf",Assumptions!$B$21-Assumptions!$B$20,0)*SUM(Assumptions!$D$70:$F$70)/Debt!$J$5)+Chain!B44*(1-Assumptions!$B$18)*(1+IF($A16="Get Lucky Golf",Assumptions!$B$21-Assumptions!$B$20,0)*SUM(Assumptions!$D$71:$F$71)/Debt!$P$5))</f>
        <v>-8069463.92647059</v>
      </c>
      <c r="D16" s="6" t="n">
        <f aca="false">(Chain!C77-($B16-Assumptions!$B$24)*Chain!C67-IF($A16="Get Lucky Golf",Assumptions!$B$21-Assumptions!$B$20,0)*(SUM(Assumptions!$D$69:$F$69)*Chain!C8+SUM(Assumptions!$D$70:$F$70)*Chain!C25+SUM(Assumptions!$D$71:$F$71)*Chain!C42)*Assumptions!$B$50)-((Debt!C87+Debt!C88)*(1+IF($A16="Get Lucky Golf",Assumptions!$B$21-Assumptions!$B$20,0)*SUM(Assumptions!$D$69:$F$69)/Debt!$D$5)+(Debt!C89+Debt!C90)*(1+IF($A16="Get Lucky Golf",Assumptions!$B$21-Assumptions!$B$20,0)*SUM(Assumptions!$D$70:$F$70)/Debt!$J$5)+(Debt!C91+Debt!C92)*(1+IF($A16="Get Lucky Golf",Assumptions!$B$21-Assumptions!$B$20,0)*SUM(Assumptions!$D$71:$F$71)/Debt!$P$5))-(Chain!C10*(1-Assumptions!$B$18)*(1+IF($A16="Get Lucky Golf",Assumptions!$B$21-Assumptions!$B$20,0)*SUM(Assumptions!$D$69:$F$69)/Debt!$D$5)+Chain!C27*(1-Assumptions!$B$18)*(1+IF($A16="Get Lucky Golf",Assumptions!$B$21-Assumptions!$B$20,0)*SUM(Assumptions!$D$70:$F$70)/Debt!$J$5)+Chain!C44*(1-Assumptions!$B$18)*(1+IF($A16="Get Lucky Golf",Assumptions!$B$21-Assumptions!$B$20,0)*SUM(Assumptions!$D$71:$F$71)/Debt!$P$5))+C16</f>
        <v>-4212828.13068508</v>
      </c>
      <c r="E16" s="6" t="n">
        <f aca="false">(Chain!D77-($B16-Assumptions!$B$24)*Chain!D67-IF($A16="Get Lucky Golf",Assumptions!$B$21-Assumptions!$B$20,0)*(SUM(Assumptions!$D$69:$F$69)*Chain!D8+SUM(Assumptions!$D$70:$F$70)*Chain!D25+SUM(Assumptions!$D$71:$F$71)*Chain!D42)*Assumptions!$B$50)-((Debt!D87+Debt!D88)*(1+IF($A16="Get Lucky Golf",Assumptions!$B$21-Assumptions!$B$20,0)*SUM(Assumptions!$D$69:$F$69)/Debt!$D$5)+(Debt!D89+Debt!D90)*(1+IF($A16="Get Lucky Golf",Assumptions!$B$21-Assumptions!$B$20,0)*SUM(Assumptions!$D$70:$F$70)/Debt!$J$5)+(Debt!D91+Debt!D92)*(1+IF($A16="Get Lucky Golf",Assumptions!$B$21-Assumptions!$B$20,0)*SUM(Assumptions!$D$71:$F$71)/Debt!$P$5))-(Chain!D10*(1-Assumptions!$B$18)*(1+IF($A16="Get Lucky Golf",Assumptions!$B$21-Assumptions!$B$20,0)*SUM(Assumptions!$D$69:$F$69)/Debt!$D$5)+Chain!D27*(1-Assumptions!$B$18)*(1+IF($A16="Get Lucky Golf",Assumptions!$B$21-Assumptions!$B$20,0)*SUM(Assumptions!$D$70:$F$70)/Debt!$J$5)+Chain!D44*(1-Assumptions!$B$18)*(1+IF($A16="Get Lucky Golf",Assumptions!$B$21-Assumptions!$B$20,0)*SUM(Assumptions!$D$71:$F$71)/Debt!$P$5))+D16</f>
        <v>36784465.9751154</v>
      </c>
      <c r="F16" s="6" t="n">
        <f aca="false">(Chain!E77-($B16-Assumptions!$B$24)*Chain!E67-IF($A16="Get Lucky Golf",Assumptions!$B$21-Assumptions!$B$20,0)*(SUM(Assumptions!$D$69:$F$69)*Chain!E8+SUM(Assumptions!$D$70:$F$70)*Chain!E25+SUM(Assumptions!$D$71:$F$71)*Chain!E42)*Assumptions!$B$50)-((Debt!E87+Debt!E88)*(1+IF($A16="Get Lucky Golf",Assumptions!$B$21-Assumptions!$B$20,0)*SUM(Assumptions!$D$69:$F$69)/Debt!$D$5)+(Debt!E89+Debt!E90)*(1+IF($A16="Get Lucky Golf",Assumptions!$B$21-Assumptions!$B$20,0)*SUM(Assumptions!$D$70:$F$70)/Debt!$J$5)+(Debt!E91+Debt!E92)*(1+IF($A16="Get Lucky Golf",Assumptions!$B$21-Assumptions!$B$20,0)*SUM(Assumptions!$D$71:$F$71)/Debt!$P$5))-(Chain!E10*(1-Assumptions!$B$18)*(1+IF($A16="Get Lucky Golf",Assumptions!$B$21-Assumptions!$B$20,0)*SUM(Assumptions!$D$69:$F$69)/Debt!$D$5)+Chain!E27*(1-Assumptions!$B$18)*(1+IF($A16="Get Lucky Golf",Assumptions!$B$21-Assumptions!$B$20,0)*SUM(Assumptions!$D$70:$F$70)/Debt!$J$5)+Chain!E44*(1-Assumptions!$B$18)*(1+IF($A16="Get Lucky Golf",Assumptions!$B$21-Assumptions!$B$20,0)*SUM(Assumptions!$D$71:$F$71)/Debt!$P$5))+E16</f>
        <v>106467098.608347</v>
      </c>
      <c r="G16" s="6" t="n">
        <f aca="false">(Chain!F77-($B16-Assumptions!$B$24)*Chain!F67-IF($A16="Get Lucky Golf",Assumptions!$B$21-Assumptions!$B$20,0)*(SUM(Assumptions!$D$69:$F$69)*Chain!F8+SUM(Assumptions!$D$70:$F$70)*Chain!F25+SUM(Assumptions!$D$71:$F$71)*Chain!F42)*Assumptions!$B$50)-((Debt!F87+Debt!F88)*(1+IF($A16="Get Lucky Golf",Assumptions!$B$21-Assumptions!$B$20,0)*SUM(Assumptions!$D$69:$F$69)/Debt!$D$5)+(Debt!F89+Debt!F90)*(1+IF($A16="Get Lucky Golf",Assumptions!$B$21-Assumptions!$B$20,0)*SUM(Assumptions!$D$70:$F$70)/Debt!$J$5)+(Debt!F91+Debt!F92)*(1+IF($A16="Get Lucky Golf",Assumptions!$B$21-Assumptions!$B$20,0)*SUM(Assumptions!$D$71:$F$71)/Debt!$P$5))-(Chain!F10*(1-Assumptions!$B$18)*(1+IF($A16="Get Lucky Golf",Assumptions!$B$21-Assumptions!$B$20,0)*SUM(Assumptions!$D$69:$F$69)/Debt!$D$5)+Chain!F27*(1-Assumptions!$B$18)*(1+IF($A16="Get Lucky Golf",Assumptions!$B$21-Assumptions!$B$20,0)*SUM(Assumptions!$D$70:$F$70)/Debt!$J$5)+Chain!F44*(1-Assumptions!$B$18)*(1+IF($A16="Get Lucky Golf",Assumptions!$B$21-Assumptions!$B$20,0)*SUM(Assumptions!$D$71:$F$71)/Debt!$P$5))+F16</f>
        <v>184156811.392313</v>
      </c>
      <c r="H16" s="6" t="n">
        <f aca="false">(Chain!G77-($B16-Assumptions!$B$24)*Chain!G67-IF($A16="Get Lucky Golf",Assumptions!$B$21-Assumptions!$B$20,0)*(SUM(Assumptions!$D$69:$F$69)*Chain!G8+SUM(Assumptions!$D$70:$F$70)*Chain!G25+SUM(Assumptions!$D$71:$F$71)*Chain!G42)*Assumptions!$B$50)-((Debt!G87+Debt!G88)*(1+IF($A16="Get Lucky Golf",Assumptions!$B$21-Assumptions!$B$20,0)*SUM(Assumptions!$D$69:$F$69)/Debt!$D$5)+(Debt!G89+Debt!G90)*(1+IF($A16="Get Lucky Golf",Assumptions!$B$21-Assumptions!$B$20,0)*SUM(Assumptions!$D$70:$F$70)/Debt!$J$5)+(Debt!G91+Debt!G92)*(1+IF($A16="Get Lucky Golf",Assumptions!$B$21-Assumptions!$B$20,0)*SUM(Assumptions!$D$71:$F$71)/Debt!$P$5))-(Chain!G10*(1-Assumptions!$B$18)*(1+IF($A16="Get Lucky Golf",Assumptions!$B$21-Assumptions!$B$20,0)*SUM(Assumptions!$D$69:$F$69)/Debt!$D$5)+Chain!G27*(1-Assumptions!$B$18)*(1+IF($A16="Get Lucky Golf",Assumptions!$B$21-Assumptions!$B$20,0)*SUM(Assumptions!$D$70:$F$70)/Debt!$J$5)+Chain!G44*(1-Assumptions!$B$18)*(1+IF($A16="Get Lucky Golf",Assumptions!$B$21-Assumptions!$B$20,0)*SUM(Assumptions!$D$71:$F$71)/Debt!$P$5))+G16</f>
        <v>261846524.17628</v>
      </c>
    </row>
    <row r="17" customFormat="false" ht="15" hidden="false" customHeight="false" outlineLevel="0" collapsed="false">
      <c r="A17" s="9" t="s">
        <v>212</v>
      </c>
      <c r="B17" s="36" t="n">
        <f aca="false">B6</f>
        <v>0.2</v>
      </c>
      <c r="C17" s="6" t="n">
        <f aca="false">(Chain!B77-($B17-Assumptions!$B$24)*Chain!B67-IF($A17="Get Lucky Golf",Assumptions!$B$21-Assumptions!$B$20,0)*(SUM(Assumptions!$D$69:$F$69)*Chain!B8+SUM(Assumptions!$D$70:$F$70)*Chain!B25+SUM(Assumptions!$D$71:$F$71)*Chain!B42)*Assumptions!$B$50)-((Debt!B87+Debt!B88)*(1+IF($A17="Get Lucky Golf",Assumptions!$B$21-Assumptions!$B$20,0)*SUM(Assumptions!$D$69:$F$69)/Debt!$D$5)+(Debt!B89+Debt!B90)*(1+IF($A17="Get Lucky Golf",Assumptions!$B$21-Assumptions!$B$20,0)*SUM(Assumptions!$D$70:$F$70)/Debt!$J$5)+(Debt!B91+Debt!B92)*(1+IF($A17="Get Lucky Golf",Assumptions!$B$21-Assumptions!$B$20,0)*SUM(Assumptions!$D$71:$F$71)/Debt!$P$5))-(Chain!B10*(1-Assumptions!$B$18)*(1+IF($A17="Get Lucky Golf",Assumptions!$B$21-Assumptions!$B$20,0)*SUM(Assumptions!$D$69:$F$69)/Debt!$D$5)+Chain!B27*(1-Assumptions!$B$18)*(1+IF($A17="Get Lucky Golf",Assumptions!$B$21-Assumptions!$B$20,0)*SUM(Assumptions!$D$70:$F$70)/Debt!$J$5)+Chain!B44*(1-Assumptions!$B$18)*(1+IF($A17="Get Lucky Golf",Assumptions!$B$21-Assumptions!$B$20,0)*SUM(Assumptions!$D$71:$F$71)/Debt!$P$5))</f>
        <v>-8786747.54411764</v>
      </c>
      <c r="D17" s="6" t="n">
        <f aca="false">(Chain!C77-($B17-Assumptions!$B$24)*Chain!C67-IF($A17="Get Lucky Golf",Assumptions!$B$21-Assumptions!$B$20,0)*(SUM(Assumptions!$D$69:$F$69)*Chain!C8+SUM(Assumptions!$D$70:$F$70)*Chain!C25+SUM(Assumptions!$D$71:$F$71)*Chain!C42)*Assumptions!$B$50)-((Debt!C87+Debt!C88)*(1+IF($A17="Get Lucky Golf",Assumptions!$B$21-Assumptions!$B$20,0)*SUM(Assumptions!$D$69:$F$69)/Debt!$D$5)+(Debt!C89+Debt!C90)*(1+IF($A17="Get Lucky Golf",Assumptions!$B$21-Assumptions!$B$20,0)*SUM(Assumptions!$D$70:$F$70)/Debt!$J$5)+(Debt!C91+Debt!C92)*(1+IF($A17="Get Lucky Golf",Assumptions!$B$21-Assumptions!$B$20,0)*SUM(Assumptions!$D$71:$F$71)/Debt!$P$5))-(Chain!C10*(1-Assumptions!$B$18)*(1+IF($A17="Get Lucky Golf",Assumptions!$B$21-Assumptions!$B$20,0)*SUM(Assumptions!$D$69:$F$69)/Debt!$D$5)+Chain!C27*(1-Assumptions!$B$18)*(1+IF($A17="Get Lucky Golf",Assumptions!$B$21-Assumptions!$B$20,0)*SUM(Assumptions!$D$70:$F$70)/Debt!$J$5)+Chain!C44*(1-Assumptions!$B$18)*(1+IF($A17="Get Lucky Golf",Assumptions!$B$21-Assumptions!$B$20,0)*SUM(Assumptions!$D$71:$F$71)/Debt!$P$5))+C17</f>
        <v>-8176774.04612626</v>
      </c>
      <c r="E17" s="6" t="n">
        <f aca="false">(Chain!D77-($B17-Assumptions!$B$24)*Chain!D67-IF($A17="Get Lucky Golf",Assumptions!$B$21-Assumptions!$B$20,0)*(SUM(Assumptions!$D$69:$F$69)*Chain!D8+SUM(Assumptions!$D$70:$F$70)*Chain!D25+SUM(Assumptions!$D$71:$F$71)*Chain!D42)*Assumptions!$B$50)-((Debt!D87+Debt!D88)*(1+IF($A17="Get Lucky Golf",Assumptions!$B$21-Assumptions!$B$20,0)*SUM(Assumptions!$D$69:$F$69)/Debt!$D$5)+(Debt!D89+Debt!D90)*(1+IF($A17="Get Lucky Golf",Assumptions!$B$21-Assumptions!$B$20,0)*SUM(Assumptions!$D$70:$F$70)/Debt!$J$5)+(Debt!D91+Debt!D92)*(1+IF($A17="Get Lucky Golf",Assumptions!$B$21-Assumptions!$B$20,0)*SUM(Assumptions!$D$71:$F$71)/Debt!$P$5))-(Chain!D10*(1-Assumptions!$B$18)*(1+IF($A17="Get Lucky Golf",Assumptions!$B$21-Assumptions!$B$20,0)*SUM(Assumptions!$D$69:$F$69)/Debt!$D$5)+Chain!D27*(1-Assumptions!$B$18)*(1+IF($A17="Get Lucky Golf",Assumptions!$B$21-Assumptions!$B$20,0)*SUM(Assumptions!$D$70:$F$70)/Debt!$J$5)+Chain!D44*(1-Assumptions!$B$18)*(1+IF($A17="Get Lucky Golf",Assumptions!$B$21-Assumptions!$B$20,0)*SUM(Assumptions!$D$71:$F$71)/Debt!$P$5))+D17</f>
        <v>26062558.1324684</v>
      </c>
      <c r="F17" s="6" t="n">
        <f aca="false">(Chain!E77-($B17-Assumptions!$B$24)*Chain!E67-IF($A17="Get Lucky Golf",Assumptions!$B$21-Assumptions!$B$20,0)*(SUM(Assumptions!$D$69:$F$69)*Chain!E8+SUM(Assumptions!$D$70:$F$70)*Chain!E25+SUM(Assumptions!$D$71:$F$71)*Chain!E42)*Assumptions!$B$50)-((Debt!E87+Debt!E88)*(1+IF($A17="Get Lucky Golf",Assumptions!$B$21-Assumptions!$B$20,0)*SUM(Assumptions!$D$69:$F$69)/Debt!$D$5)+(Debt!E89+Debt!E90)*(1+IF($A17="Get Lucky Golf",Assumptions!$B$21-Assumptions!$B$20,0)*SUM(Assumptions!$D$70:$F$70)/Debt!$J$5)+(Debt!E91+Debt!E92)*(1+IF($A17="Get Lucky Golf",Assumptions!$B$21-Assumptions!$B$20,0)*SUM(Assumptions!$D$71:$F$71)/Debt!$P$5))-(Chain!E10*(1-Assumptions!$B$18)*(1+IF($A17="Get Lucky Golf",Assumptions!$B$21-Assumptions!$B$20,0)*SUM(Assumptions!$D$69:$F$69)/Debt!$D$5)+Chain!E27*(1-Assumptions!$B$18)*(1+IF($A17="Get Lucky Golf",Assumptions!$B$21-Assumptions!$B$20,0)*SUM(Assumptions!$D$70:$F$70)/Debt!$J$5)+Chain!E44*(1-Assumptions!$B$18)*(1+IF($A17="Get Lucky Golf",Assumptions!$B$21-Assumptions!$B$20,0)*SUM(Assumptions!$D$71:$F$71)/Debt!$P$5))+E17</f>
        <v>86952641.5083467</v>
      </c>
      <c r="G17" s="6" t="n">
        <f aca="false">(Chain!F77-($B17-Assumptions!$B$24)*Chain!F67-IF($A17="Get Lucky Golf",Assumptions!$B$21-Assumptions!$B$20,0)*(SUM(Assumptions!$D$69:$F$69)*Chain!F8+SUM(Assumptions!$D$70:$F$70)*Chain!F25+SUM(Assumptions!$D$71:$F$71)*Chain!F42)*Assumptions!$B$50)-((Debt!F87+Debt!F88)*(1+IF($A17="Get Lucky Golf",Assumptions!$B$21-Assumptions!$B$20,0)*SUM(Assumptions!$D$69:$F$69)/Debt!$D$5)+(Debt!F89+Debt!F90)*(1+IF($A17="Get Lucky Golf",Assumptions!$B$21-Assumptions!$B$20,0)*SUM(Assumptions!$D$70:$F$70)/Debt!$J$5)+(Debt!F91+Debt!F92)*(1+IF($A17="Get Lucky Golf",Assumptions!$B$21-Assumptions!$B$20,0)*SUM(Assumptions!$D$71:$F$71)/Debt!$P$5))-(Chain!F10*(1-Assumptions!$B$18)*(1+IF($A17="Get Lucky Golf",Assumptions!$B$21-Assumptions!$B$20,0)*SUM(Assumptions!$D$69:$F$69)/Debt!$D$5)+Chain!F27*(1-Assumptions!$B$18)*(1+IF($A17="Get Lucky Golf",Assumptions!$B$21-Assumptions!$B$20,0)*SUM(Assumptions!$D$70:$F$70)/Debt!$J$5)+Chain!F44*(1-Assumptions!$B$18)*(1+IF($A17="Get Lucky Golf",Assumptions!$B$21-Assumptions!$B$20,0)*SUM(Assumptions!$D$71:$F$71)/Debt!$P$5))+F17</f>
        <v>155333219.218784</v>
      </c>
      <c r="H17" s="6" t="n">
        <f aca="false">(Chain!G77-($B17-Assumptions!$B$24)*Chain!G67-IF($A17="Get Lucky Golf",Assumptions!$B$21-Assumptions!$B$20,0)*(SUM(Assumptions!$D$69:$F$69)*Chain!G8+SUM(Assumptions!$D$70:$F$70)*Chain!G25+SUM(Assumptions!$D$71:$F$71)*Chain!G42)*Assumptions!$B$50)-((Debt!G87+Debt!G88)*(1+IF($A17="Get Lucky Golf",Assumptions!$B$21-Assumptions!$B$20,0)*SUM(Assumptions!$D$69:$F$69)/Debt!$D$5)+(Debt!G89+Debt!G90)*(1+IF($A17="Get Lucky Golf",Assumptions!$B$21-Assumptions!$B$20,0)*SUM(Assumptions!$D$70:$F$70)/Debt!$J$5)+(Debt!G91+Debt!G92)*(1+IF($A17="Get Lucky Golf",Assumptions!$B$21-Assumptions!$B$20,0)*SUM(Assumptions!$D$71:$F$71)/Debt!$P$5))-(Chain!G10*(1-Assumptions!$B$18)*(1+IF($A17="Get Lucky Golf",Assumptions!$B$21-Assumptions!$B$20,0)*SUM(Assumptions!$D$69:$F$69)/Debt!$D$5)+Chain!G27*(1-Assumptions!$B$18)*(1+IF($A17="Get Lucky Golf",Assumptions!$B$21-Assumptions!$B$20,0)*SUM(Assumptions!$D$70:$F$70)/Debt!$J$5)+Chain!G44*(1-Assumptions!$B$18)*(1+IF($A17="Get Lucky Golf",Assumptions!$B$21-Assumptions!$B$20,0)*SUM(Assumptions!$D$71:$F$71)/Debt!$P$5))+G17</f>
        <v>223713796.929221</v>
      </c>
    </row>
    <row r="18" customFormat="false" ht="15" hidden="false" customHeight="false" outlineLevel="0" collapsed="false">
      <c r="A18" s="9" t="s">
        <v>212</v>
      </c>
      <c r="B18" s="36" t="n">
        <f aca="false">B7</f>
        <v>0.25</v>
      </c>
      <c r="C18" s="6" t="n">
        <f aca="false">(Chain!B77-($B18-Assumptions!$B$24)*Chain!B67-IF($A18="Get Lucky Golf",Assumptions!$B$21-Assumptions!$B$20,0)*(SUM(Assumptions!$D$69:$F$69)*Chain!B8+SUM(Assumptions!$D$70:$F$70)*Chain!B25+SUM(Assumptions!$D$71:$F$71)*Chain!B42)*Assumptions!$B$50)-((Debt!B87+Debt!B88)*(1+IF($A18="Get Lucky Golf",Assumptions!$B$21-Assumptions!$B$20,0)*SUM(Assumptions!$D$69:$F$69)/Debt!$D$5)+(Debt!B89+Debt!B90)*(1+IF($A18="Get Lucky Golf",Assumptions!$B$21-Assumptions!$B$20,0)*SUM(Assumptions!$D$70:$F$70)/Debt!$J$5)+(Debt!B91+Debt!B92)*(1+IF($A18="Get Lucky Golf",Assumptions!$B$21-Assumptions!$B$20,0)*SUM(Assumptions!$D$71:$F$71)/Debt!$P$5))-(Chain!B10*(1-Assumptions!$B$18)*(1+IF($A18="Get Lucky Golf",Assumptions!$B$21-Assumptions!$B$20,0)*SUM(Assumptions!$D$69:$F$69)/Debt!$D$5)+Chain!B27*(1-Assumptions!$B$18)*(1+IF($A18="Get Lucky Golf",Assumptions!$B$21-Assumptions!$B$20,0)*SUM(Assumptions!$D$70:$F$70)/Debt!$J$5)+Chain!B44*(1-Assumptions!$B$18)*(1+IF($A18="Get Lucky Golf",Assumptions!$B$21-Assumptions!$B$20,0)*SUM(Assumptions!$D$71:$F$71)/Debt!$P$5))</f>
        <v>-9504031.1617647</v>
      </c>
      <c r="D18" s="6" t="n">
        <f aca="false">(Chain!C77-($B18-Assumptions!$B$24)*Chain!C67-IF($A18="Get Lucky Golf",Assumptions!$B$21-Assumptions!$B$20,0)*(SUM(Assumptions!$D$69:$F$69)*Chain!C8+SUM(Assumptions!$D$70:$F$70)*Chain!C25+SUM(Assumptions!$D$71:$F$71)*Chain!C42)*Assumptions!$B$50)-((Debt!C87+Debt!C88)*(1+IF($A18="Get Lucky Golf",Assumptions!$B$21-Assumptions!$B$20,0)*SUM(Assumptions!$D$69:$F$69)/Debt!$D$5)+(Debt!C89+Debt!C90)*(1+IF($A18="Get Lucky Golf",Assumptions!$B$21-Assumptions!$B$20,0)*SUM(Assumptions!$D$70:$F$70)/Debt!$J$5)+(Debt!C91+Debt!C92)*(1+IF($A18="Get Lucky Golf",Assumptions!$B$21-Assumptions!$B$20,0)*SUM(Assumptions!$D$71:$F$71)/Debt!$P$5))-(Chain!C10*(1-Assumptions!$B$18)*(1+IF($A18="Get Lucky Golf",Assumptions!$B$21-Assumptions!$B$20,0)*SUM(Assumptions!$D$69:$F$69)/Debt!$D$5)+Chain!C27*(1-Assumptions!$B$18)*(1+IF($A18="Get Lucky Golf",Assumptions!$B$21-Assumptions!$B$20,0)*SUM(Assumptions!$D$70:$F$70)/Debt!$J$5)+Chain!C44*(1-Assumptions!$B$18)*(1+IF($A18="Get Lucky Golf",Assumptions!$B$21-Assumptions!$B$20,0)*SUM(Assumptions!$D$71:$F$71)/Debt!$P$5))+C18</f>
        <v>-12140719.9615674</v>
      </c>
      <c r="E18" s="6" t="n">
        <f aca="false">(Chain!D77-($B18-Assumptions!$B$24)*Chain!D67-IF($A18="Get Lucky Golf",Assumptions!$B$21-Assumptions!$B$20,0)*(SUM(Assumptions!$D$69:$F$69)*Chain!D8+SUM(Assumptions!$D$70:$F$70)*Chain!D25+SUM(Assumptions!$D$71:$F$71)*Chain!D42)*Assumptions!$B$50)-((Debt!D87+Debt!D88)*(1+IF($A18="Get Lucky Golf",Assumptions!$B$21-Assumptions!$B$20,0)*SUM(Assumptions!$D$69:$F$69)/Debt!$D$5)+(Debt!D89+Debt!D90)*(1+IF($A18="Get Lucky Golf",Assumptions!$B$21-Assumptions!$B$20,0)*SUM(Assumptions!$D$70:$F$70)/Debt!$J$5)+(Debt!D91+Debt!D92)*(1+IF($A18="Get Lucky Golf",Assumptions!$B$21-Assumptions!$B$20,0)*SUM(Assumptions!$D$71:$F$71)/Debt!$P$5))-(Chain!D10*(1-Assumptions!$B$18)*(1+IF($A18="Get Lucky Golf",Assumptions!$B$21-Assumptions!$B$20,0)*SUM(Assumptions!$D$69:$F$69)/Debt!$D$5)+Chain!D27*(1-Assumptions!$B$18)*(1+IF($A18="Get Lucky Golf",Assumptions!$B$21-Assumptions!$B$20,0)*SUM(Assumptions!$D$70:$F$70)/Debt!$J$5)+Chain!D44*(1-Assumptions!$B$18)*(1+IF($A18="Get Lucky Golf",Assumptions!$B$21-Assumptions!$B$20,0)*SUM(Assumptions!$D$71:$F$71)/Debt!$P$5))+D18</f>
        <v>15340650.2898213</v>
      </c>
      <c r="F18" s="6" t="n">
        <f aca="false">(Chain!E77-($B18-Assumptions!$B$24)*Chain!E67-IF($A18="Get Lucky Golf",Assumptions!$B$21-Assumptions!$B$20,0)*(SUM(Assumptions!$D$69:$F$69)*Chain!E8+SUM(Assumptions!$D$70:$F$70)*Chain!E25+SUM(Assumptions!$D$71:$F$71)*Chain!E42)*Assumptions!$B$50)-((Debt!E87+Debt!E88)*(1+IF($A18="Get Lucky Golf",Assumptions!$B$21-Assumptions!$B$20,0)*SUM(Assumptions!$D$69:$F$69)/Debt!$D$5)+(Debt!E89+Debt!E90)*(1+IF($A18="Get Lucky Golf",Assumptions!$B$21-Assumptions!$B$20,0)*SUM(Assumptions!$D$70:$F$70)/Debt!$J$5)+(Debt!E91+Debt!E92)*(1+IF($A18="Get Lucky Golf",Assumptions!$B$21-Assumptions!$B$20,0)*SUM(Assumptions!$D$71:$F$71)/Debt!$P$5))-(Chain!E10*(1-Assumptions!$B$18)*(1+IF($A18="Get Lucky Golf",Assumptions!$B$21-Assumptions!$B$20,0)*SUM(Assumptions!$D$69:$F$69)/Debt!$D$5)+Chain!E27*(1-Assumptions!$B$18)*(1+IF($A18="Get Lucky Golf",Assumptions!$B$21-Assumptions!$B$20,0)*SUM(Assumptions!$D$70:$F$70)/Debt!$J$5)+Chain!E44*(1-Assumptions!$B$18)*(1+IF($A18="Get Lucky Golf",Assumptions!$B$21-Assumptions!$B$20,0)*SUM(Assumptions!$D$71:$F$71)/Debt!$P$5))+E18</f>
        <v>67438184.4083467</v>
      </c>
      <c r="G18" s="6" t="n">
        <f aca="false">(Chain!F77-($B18-Assumptions!$B$24)*Chain!F67-IF($A18="Get Lucky Golf",Assumptions!$B$21-Assumptions!$B$20,0)*(SUM(Assumptions!$D$69:$F$69)*Chain!F8+SUM(Assumptions!$D$70:$F$70)*Chain!F25+SUM(Assumptions!$D$71:$F$71)*Chain!F42)*Assumptions!$B$50)-((Debt!F87+Debt!F88)*(1+IF($A18="Get Lucky Golf",Assumptions!$B$21-Assumptions!$B$20,0)*SUM(Assumptions!$D$69:$F$69)/Debt!$D$5)+(Debt!F89+Debt!F90)*(1+IF($A18="Get Lucky Golf",Assumptions!$B$21-Assumptions!$B$20,0)*SUM(Assumptions!$D$70:$F$70)/Debt!$J$5)+(Debt!F91+Debt!F92)*(1+IF($A18="Get Lucky Golf",Assumptions!$B$21-Assumptions!$B$20,0)*SUM(Assumptions!$D$71:$F$71)/Debt!$P$5))-(Chain!F10*(1-Assumptions!$B$18)*(1+IF($A18="Get Lucky Golf",Assumptions!$B$21-Assumptions!$B$20,0)*SUM(Assumptions!$D$69:$F$69)/Debt!$D$5)+Chain!F27*(1-Assumptions!$B$18)*(1+IF($A18="Get Lucky Golf",Assumptions!$B$21-Assumptions!$B$20,0)*SUM(Assumptions!$D$70:$F$70)/Debt!$J$5)+Chain!F44*(1-Assumptions!$B$18)*(1+IF($A18="Get Lucky Golf",Assumptions!$B$21-Assumptions!$B$20,0)*SUM(Assumptions!$D$71:$F$71)/Debt!$P$5))+F18</f>
        <v>126509627.045254</v>
      </c>
      <c r="H18" s="6" t="n">
        <f aca="false">(Chain!G77-($B18-Assumptions!$B$24)*Chain!G67-IF($A18="Get Lucky Golf",Assumptions!$B$21-Assumptions!$B$20,0)*(SUM(Assumptions!$D$69:$F$69)*Chain!G8+SUM(Assumptions!$D$70:$F$70)*Chain!G25+SUM(Assumptions!$D$71:$F$71)*Chain!G42)*Assumptions!$B$50)-((Debt!G87+Debt!G88)*(1+IF($A18="Get Lucky Golf",Assumptions!$B$21-Assumptions!$B$20,0)*SUM(Assumptions!$D$69:$F$69)/Debt!$D$5)+(Debt!G89+Debt!G90)*(1+IF($A18="Get Lucky Golf",Assumptions!$B$21-Assumptions!$B$20,0)*SUM(Assumptions!$D$70:$F$70)/Debt!$J$5)+(Debt!G91+Debt!G92)*(1+IF($A18="Get Lucky Golf",Assumptions!$B$21-Assumptions!$B$20,0)*SUM(Assumptions!$D$71:$F$71)/Debt!$P$5))-(Chain!G10*(1-Assumptions!$B$18)*(1+IF($A18="Get Lucky Golf",Assumptions!$B$21-Assumptions!$B$20,0)*SUM(Assumptions!$D$69:$F$69)/Debt!$D$5)+Chain!G27*(1-Assumptions!$B$18)*(1+IF($A18="Get Lucky Golf",Assumptions!$B$21-Assumptions!$B$20,0)*SUM(Assumptions!$D$70:$F$70)/Debt!$J$5)+Chain!G44*(1-Assumptions!$B$18)*(1+IF($A18="Get Lucky Golf",Assumptions!$B$21-Assumptions!$B$20,0)*SUM(Assumptions!$D$71:$F$71)/Debt!$P$5))+G18</f>
        <v>185581069.682162</v>
      </c>
    </row>
    <row r="19" customFormat="false" ht="15" hidden="false" customHeight="false" outlineLevel="0" collapsed="false">
      <c r="A19" s="9" t="s">
        <v>213</v>
      </c>
      <c r="B19" s="36" t="n">
        <f aca="false">B8</f>
        <v>0.15</v>
      </c>
      <c r="C19" s="6" t="n">
        <f aca="false">(Chain!B77-($B19-Assumptions!$B$24)*Chain!B67-IF($A19="Get Lucky Golf",Assumptions!$B$21-Assumptions!$B$20,0)*(SUM(Assumptions!$D$69:$F$69)*Chain!B8+SUM(Assumptions!$D$70:$F$70)*Chain!B25+SUM(Assumptions!$D$71:$F$71)*Chain!B42)*Assumptions!$B$50)-((Debt!B87+Debt!B88)*(1+IF($A19="Get Lucky Golf",Assumptions!$B$21-Assumptions!$B$20,0)*SUM(Assumptions!$D$69:$F$69)/Debt!$D$5)+(Debt!B89+Debt!B90)*(1+IF($A19="Get Lucky Golf",Assumptions!$B$21-Assumptions!$B$20,0)*SUM(Assumptions!$D$70:$F$70)/Debt!$J$5)+(Debt!B91+Debt!B92)*(1+IF($A19="Get Lucky Golf",Assumptions!$B$21-Assumptions!$B$20,0)*SUM(Assumptions!$D$71:$F$71)/Debt!$P$5))-(Chain!B10*(1-Assumptions!$B$18)*(1+IF($A19="Get Lucky Golf",Assumptions!$B$21-Assumptions!$B$20,0)*SUM(Assumptions!$D$69:$F$69)/Debt!$D$5)+Chain!B27*(1-Assumptions!$B$18)*(1+IF($A19="Get Lucky Golf",Assumptions!$B$21-Assumptions!$B$20,0)*SUM(Assumptions!$D$70:$F$70)/Debt!$J$5)+Chain!B44*(1-Assumptions!$B$18)*(1+IF($A19="Get Lucky Golf",Assumptions!$B$21-Assumptions!$B$20,0)*SUM(Assumptions!$D$71:$F$71)/Debt!$P$5))</f>
        <v>-9347463.92647059</v>
      </c>
      <c r="D19" s="6" t="n">
        <f aca="false">(Chain!C77-($B19-Assumptions!$B$24)*Chain!C67-IF($A19="Get Lucky Golf",Assumptions!$B$21-Assumptions!$B$20,0)*(SUM(Assumptions!$D$69:$F$69)*Chain!C8+SUM(Assumptions!$D$70:$F$70)*Chain!C25+SUM(Assumptions!$D$71:$F$71)*Chain!C42)*Assumptions!$B$50)-((Debt!C87+Debt!C88)*(1+IF($A19="Get Lucky Golf",Assumptions!$B$21-Assumptions!$B$20,0)*SUM(Assumptions!$D$69:$F$69)/Debt!$D$5)+(Debt!C89+Debt!C90)*(1+IF($A19="Get Lucky Golf",Assumptions!$B$21-Assumptions!$B$20,0)*SUM(Assumptions!$D$70:$F$70)/Debt!$J$5)+(Debt!C91+Debt!C92)*(1+IF($A19="Get Lucky Golf",Assumptions!$B$21-Assumptions!$B$20,0)*SUM(Assumptions!$D$71:$F$71)/Debt!$P$5))-(Chain!C10*(1-Assumptions!$B$18)*(1+IF($A19="Get Lucky Golf",Assumptions!$B$21-Assumptions!$B$20,0)*SUM(Assumptions!$D$69:$F$69)/Debt!$D$5)+Chain!C27*(1-Assumptions!$B$18)*(1+IF($A19="Get Lucky Golf",Assumptions!$B$21-Assumptions!$B$20,0)*SUM(Assumptions!$D$70:$F$70)/Debt!$J$5)+Chain!C44*(1-Assumptions!$B$18)*(1+IF($A19="Get Lucky Golf",Assumptions!$B$21-Assumptions!$B$20,0)*SUM(Assumptions!$D$71:$F$71)/Debt!$P$5))+C19</f>
        <v>-10187268.3406667</v>
      </c>
      <c r="E19" s="6" t="n">
        <f aca="false">(Chain!D77-($B19-Assumptions!$B$24)*Chain!D67-IF($A19="Get Lucky Golf",Assumptions!$B$21-Assumptions!$B$20,0)*(SUM(Assumptions!$D$69:$F$69)*Chain!D8+SUM(Assumptions!$D$70:$F$70)*Chain!D25+SUM(Assumptions!$D$71:$F$71)*Chain!D42)*Assumptions!$B$50)-((Debt!D87+Debt!D88)*(1+IF($A19="Get Lucky Golf",Assumptions!$B$21-Assumptions!$B$20,0)*SUM(Assumptions!$D$69:$F$69)/Debt!$D$5)+(Debt!D89+Debt!D90)*(1+IF($A19="Get Lucky Golf",Assumptions!$B$21-Assumptions!$B$20,0)*SUM(Assumptions!$D$70:$F$70)/Debt!$J$5)+(Debt!D91+Debt!D92)*(1+IF($A19="Get Lucky Golf",Assumptions!$B$21-Assumptions!$B$20,0)*SUM(Assumptions!$D$71:$F$71)/Debt!$P$5))-(Chain!D10*(1-Assumptions!$B$18)*(1+IF($A19="Get Lucky Golf",Assumptions!$B$21-Assumptions!$B$20,0)*SUM(Assumptions!$D$69:$F$69)/Debt!$D$5)+Chain!D27*(1-Assumptions!$B$18)*(1+IF($A19="Get Lucky Golf",Assumptions!$B$21-Assumptions!$B$20,0)*SUM(Assumptions!$D$70:$F$70)/Debt!$J$5)+Chain!D44*(1-Assumptions!$B$18)*(1+IF($A19="Get Lucky Golf",Assumptions!$B$21-Assumptions!$B$20,0)*SUM(Assumptions!$D$71:$F$71)/Debt!$P$5))+D19</f>
        <v>23628985.0301981</v>
      </c>
      <c r="F19" s="6" t="n">
        <f aca="false">(Chain!E77-($B19-Assumptions!$B$24)*Chain!E67-IF($A19="Get Lucky Golf",Assumptions!$B$21-Assumptions!$B$20,0)*(SUM(Assumptions!$D$69:$F$69)*Chain!E8+SUM(Assumptions!$D$70:$F$70)*Chain!E25+SUM(Assumptions!$D$71:$F$71)*Chain!E42)*Assumptions!$B$50)-((Debt!E87+Debt!E88)*(1+IF($A19="Get Lucky Golf",Assumptions!$B$21-Assumptions!$B$20,0)*SUM(Assumptions!$D$69:$F$69)/Debt!$D$5)+(Debt!E89+Debt!E90)*(1+IF($A19="Get Lucky Golf",Assumptions!$B$21-Assumptions!$B$20,0)*SUM(Assumptions!$D$70:$F$70)/Debt!$J$5)+(Debt!E91+Debt!E92)*(1+IF($A19="Get Lucky Golf",Assumptions!$B$21-Assumptions!$B$20,0)*SUM(Assumptions!$D$71:$F$71)/Debt!$P$5))-(Chain!E10*(1-Assumptions!$B$18)*(1+IF($A19="Get Lucky Golf",Assumptions!$B$21-Assumptions!$B$20,0)*SUM(Assumptions!$D$69:$F$69)/Debt!$D$5)+Chain!E27*(1-Assumptions!$B$18)*(1+IF($A19="Get Lucky Golf",Assumptions!$B$21-Assumptions!$B$20,0)*SUM(Assumptions!$D$70:$F$70)/Debt!$J$5)+Chain!E44*(1-Assumptions!$B$18)*(1+IF($A19="Get Lucky Golf",Assumptions!$B$21-Assumptions!$B$20,0)*SUM(Assumptions!$D$71:$F$71)/Debt!$P$5))+E19</f>
        <v>85804416.6135212</v>
      </c>
      <c r="G19" s="6" t="n">
        <f aca="false">(Chain!F77-($B19-Assumptions!$B$24)*Chain!F67-IF($A19="Get Lucky Golf",Assumptions!$B$21-Assumptions!$B$20,0)*(SUM(Assumptions!$D$69:$F$69)*Chain!F8+SUM(Assumptions!$D$70:$F$70)*Chain!F25+SUM(Assumptions!$D$71:$F$71)*Chain!F42)*Assumptions!$B$50)-((Debt!F87+Debt!F88)*(1+IF($A19="Get Lucky Golf",Assumptions!$B$21-Assumptions!$B$20,0)*SUM(Assumptions!$D$69:$F$69)/Debt!$D$5)+(Debt!F89+Debt!F90)*(1+IF($A19="Get Lucky Golf",Assumptions!$B$21-Assumptions!$B$20,0)*SUM(Assumptions!$D$70:$F$70)/Debt!$J$5)+(Debt!F91+Debt!F92)*(1+IF($A19="Get Lucky Golf",Assumptions!$B$21-Assumptions!$B$20,0)*SUM(Assumptions!$D$71:$F$71)/Debt!$P$5))-(Chain!F10*(1-Assumptions!$B$18)*(1+IF($A19="Get Lucky Golf",Assumptions!$B$21-Assumptions!$B$20,0)*SUM(Assumptions!$D$69:$F$69)/Debt!$D$5)+Chain!F27*(1-Assumptions!$B$18)*(1+IF($A19="Get Lucky Golf",Assumptions!$B$21-Assumptions!$B$20,0)*SUM(Assumptions!$D$70:$F$70)/Debt!$J$5)+Chain!F44*(1-Assumptions!$B$18)*(1+IF($A19="Get Lucky Golf",Assumptions!$B$21-Assumptions!$B$20,0)*SUM(Assumptions!$D$71:$F$71)/Debt!$P$5))+F19</f>
        <v>155986928.34758</v>
      </c>
      <c r="H19" s="6" t="n">
        <f aca="false">(Chain!G77-($B19-Assumptions!$B$24)*Chain!G67-IF($A19="Get Lucky Golf",Assumptions!$B$21-Assumptions!$B$20,0)*(SUM(Assumptions!$D$69:$F$69)*Chain!G8+SUM(Assumptions!$D$70:$F$70)*Chain!G25+SUM(Assumptions!$D$71:$F$71)*Chain!G42)*Assumptions!$B$50)-((Debt!G87+Debt!G88)*(1+IF($A19="Get Lucky Golf",Assumptions!$B$21-Assumptions!$B$20,0)*SUM(Assumptions!$D$69:$F$69)/Debt!$D$5)+(Debt!G89+Debt!G90)*(1+IF($A19="Get Lucky Golf",Assumptions!$B$21-Assumptions!$B$20,0)*SUM(Assumptions!$D$70:$F$70)/Debt!$J$5)+(Debt!G91+Debt!G92)*(1+IF($A19="Get Lucky Golf",Assumptions!$B$21-Assumptions!$B$20,0)*SUM(Assumptions!$D$71:$F$71)/Debt!$P$5))-(Chain!G10*(1-Assumptions!$B$18)*(1+IF($A19="Get Lucky Golf",Assumptions!$B$21-Assumptions!$B$20,0)*SUM(Assumptions!$D$69:$F$69)/Debt!$D$5)+Chain!G27*(1-Assumptions!$B$18)*(1+IF($A19="Get Lucky Golf",Assumptions!$B$21-Assumptions!$B$20,0)*SUM(Assumptions!$D$70:$F$70)/Debt!$J$5)+Chain!G44*(1-Assumptions!$B$18)*(1+IF($A19="Get Lucky Golf",Assumptions!$B$21-Assumptions!$B$20,0)*SUM(Assumptions!$D$71:$F$71)/Debt!$P$5))+G19</f>
        <v>226169440.081638</v>
      </c>
    </row>
    <row r="20" customFormat="false" ht="15" hidden="false" customHeight="false" outlineLevel="0" collapsed="false">
      <c r="A20" s="9" t="s">
        <v>213</v>
      </c>
      <c r="B20" s="36" t="n">
        <f aca="false">B9</f>
        <v>0.2</v>
      </c>
      <c r="C20" s="6" t="n">
        <f aca="false">(Chain!B77-($B20-Assumptions!$B$24)*Chain!B67-IF($A20="Get Lucky Golf",Assumptions!$B$21-Assumptions!$B$20,0)*(SUM(Assumptions!$D$69:$F$69)*Chain!B8+SUM(Assumptions!$D$70:$F$70)*Chain!B25+SUM(Assumptions!$D$71:$F$71)*Chain!B42)*Assumptions!$B$50)-((Debt!B87+Debt!B88)*(1+IF($A20="Get Lucky Golf",Assumptions!$B$21-Assumptions!$B$20,0)*SUM(Assumptions!$D$69:$F$69)/Debt!$D$5)+(Debt!B89+Debt!B90)*(1+IF($A20="Get Lucky Golf",Assumptions!$B$21-Assumptions!$B$20,0)*SUM(Assumptions!$D$70:$F$70)/Debt!$J$5)+(Debt!B91+Debt!B92)*(1+IF($A20="Get Lucky Golf",Assumptions!$B$21-Assumptions!$B$20,0)*SUM(Assumptions!$D$71:$F$71)/Debt!$P$5))-(Chain!B10*(1-Assumptions!$B$18)*(1+IF($A20="Get Lucky Golf",Assumptions!$B$21-Assumptions!$B$20,0)*SUM(Assumptions!$D$69:$F$69)/Debt!$D$5)+Chain!B27*(1-Assumptions!$B$18)*(1+IF($A20="Get Lucky Golf",Assumptions!$B$21-Assumptions!$B$20,0)*SUM(Assumptions!$D$70:$F$70)/Debt!$J$5)+Chain!B44*(1-Assumptions!$B$18)*(1+IF($A20="Get Lucky Golf",Assumptions!$B$21-Assumptions!$B$20,0)*SUM(Assumptions!$D$71:$F$71)/Debt!$P$5))</f>
        <v>-10064747.5441176</v>
      </c>
      <c r="D20" s="6" t="n">
        <f aca="false">(Chain!C77-($B20-Assumptions!$B$24)*Chain!C67-IF($A20="Get Lucky Golf",Assumptions!$B$21-Assumptions!$B$20,0)*(SUM(Assumptions!$D$69:$F$69)*Chain!C8+SUM(Assumptions!$D$70:$F$70)*Chain!C25+SUM(Assumptions!$D$71:$F$71)*Chain!C42)*Assumptions!$B$50)-((Debt!C87+Debt!C88)*(1+IF($A20="Get Lucky Golf",Assumptions!$B$21-Assumptions!$B$20,0)*SUM(Assumptions!$D$69:$F$69)/Debt!$D$5)+(Debt!C89+Debt!C90)*(1+IF($A20="Get Lucky Golf",Assumptions!$B$21-Assumptions!$B$20,0)*SUM(Assumptions!$D$70:$F$70)/Debt!$J$5)+(Debt!C91+Debt!C92)*(1+IF($A20="Get Lucky Golf",Assumptions!$B$21-Assumptions!$B$20,0)*SUM(Assumptions!$D$71:$F$71)/Debt!$P$5))-(Chain!C10*(1-Assumptions!$B$18)*(1+IF($A20="Get Lucky Golf",Assumptions!$B$21-Assumptions!$B$20,0)*SUM(Assumptions!$D$69:$F$69)/Debt!$D$5)+Chain!C27*(1-Assumptions!$B$18)*(1+IF($A20="Get Lucky Golf",Assumptions!$B$21-Assumptions!$B$20,0)*SUM(Assumptions!$D$70:$F$70)/Debt!$J$5)+Chain!C44*(1-Assumptions!$B$18)*(1+IF($A20="Get Lucky Golf",Assumptions!$B$21-Assumptions!$B$20,0)*SUM(Assumptions!$D$71:$F$71)/Debt!$P$5))+C20</f>
        <v>-14151214.2561079</v>
      </c>
      <c r="E20" s="6" t="n">
        <f aca="false">(Chain!D77-($B20-Assumptions!$B$24)*Chain!D67-IF($A20="Get Lucky Golf",Assumptions!$B$21-Assumptions!$B$20,0)*(SUM(Assumptions!$D$69:$F$69)*Chain!D8+SUM(Assumptions!$D$70:$F$70)*Chain!D25+SUM(Assumptions!$D$71:$F$71)*Chain!D42)*Assumptions!$B$50)-((Debt!D87+Debt!D88)*(1+IF($A20="Get Lucky Golf",Assumptions!$B$21-Assumptions!$B$20,0)*SUM(Assumptions!$D$69:$F$69)/Debt!$D$5)+(Debt!D89+Debt!D90)*(1+IF($A20="Get Lucky Golf",Assumptions!$B$21-Assumptions!$B$20,0)*SUM(Assumptions!$D$70:$F$70)/Debt!$J$5)+(Debt!D91+Debt!D92)*(1+IF($A20="Get Lucky Golf",Assumptions!$B$21-Assumptions!$B$20,0)*SUM(Assumptions!$D$71:$F$71)/Debt!$P$5))-(Chain!D10*(1-Assumptions!$B$18)*(1+IF($A20="Get Lucky Golf",Assumptions!$B$21-Assumptions!$B$20,0)*SUM(Assumptions!$D$69:$F$69)/Debt!$D$5)+Chain!D27*(1-Assumptions!$B$18)*(1+IF($A20="Get Lucky Golf",Assumptions!$B$21-Assumptions!$B$20,0)*SUM(Assumptions!$D$70:$F$70)/Debt!$J$5)+Chain!D44*(1-Assumptions!$B$18)*(1+IF($A20="Get Lucky Golf",Assumptions!$B$21-Assumptions!$B$20,0)*SUM(Assumptions!$D$71:$F$71)/Debt!$P$5))+D20</f>
        <v>12907077.187551</v>
      </c>
      <c r="F20" s="6" t="n">
        <f aca="false">(Chain!E77-($B20-Assumptions!$B$24)*Chain!E67-IF($A20="Get Lucky Golf",Assumptions!$B$21-Assumptions!$B$20,0)*(SUM(Assumptions!$D$69:$F$69)*Chain!E8+SUM(Assumptions!$D$70:$F$70)*Chain!E25+SUM(Assumptions!$D$71:$F$71)*Chain!E42)*Assumptions!$B$50)-((Debt!E87+Debt!E88)*(1+IF($A20="Get Lucky Golf",Assumptions!$B$21-Assumptions!$B$20,0)*SUM(Assumptions!$D$69:$F$69)/Debt!$D$5)+(Debt!E89+Debt!E90)*(1+IF($A20="Get Lucky Golf",Assumptions!$B$21-Assumptions!$B$20,0)*SUM(Assumptions!$D$70:$F$70)/Debt!$J$5)+(Debt!E91+Debt!E92)*(1+IF($A20="Get Lucky Golf",Assumptions!$B$21-Assumptions!$B$20,0)*SUM(Assumptions!$D$71:$F$71)/Debt!$P$5))-(Chain!E10*(1-Assumptions!$B$18)*(1+IF($A20="Get Lucky Golf",Assumptions!$B$21-Assumptions!$B$20,0)*SUM(Assumptions!$D$69:$F$69)/Debt!$D$5)+Chain!E27*(1-Assumptions!$B$18)*(1+IF($A20="Get Lucky Golf",Assumptions!$B$21-Assumptions!$B$20,0)*SUM(Assumptions!$D$70:$F$70)/Debt!$J$5)+Chain!E44*(1-Assumptions!$B$18)*(1+IF($A20="Get Lucky Golf",Assumptions!$B$21-Assumptions!$B$20,0)*SUM(Assumptions!$D$71:$F$71)/Debt!$P$5))+E20</f>
        <v>66289959.5135211</v>
      </c>
      <c r="G20" s="6" t="n">
        <f aca="false">(Chain!F77-($B20-Assumptions!$B$24)*Chain!F67-IF($A20="Get Lucky Golf",Assumptions!$B$21-Assumptions!$B$20,0)*(SUM(Assumptions!$D$69:$F$69)*Chain!F8+SUM(Assumptions!$D$70:$F$70)*Chain!F25+SUM(Assumptions!$D$71:$F$71)*Chain!F42)*Assumptions!$B$50)-((Debt!F87+Debt!F88)*(1+IF($A20="Get Lucky Golf",Assumptions!$B$21-Assumptions!$B$20,0)*SUM(Assumptions!$D$69:$F$69)/Debt!$D$5)+(Debt!F89+Debt!F90)*(1+IF($A20="Get Lucky Golf",Assumptions!$B$21-Assumptions!$B$20,0)*SUM(Assumptions!$D$70:$F$70)/Debt!$J$5)+(Debt!F91+Debt!F92)*(1+IF($A20="Get Lucky Golf",Assumptions!$B$21-Assumptions!$B$20,0)*SUM(Assumptions!$D$71:$F$71)/Debt!$P$5))-(Chain!F10*(1-Assumptions!$B$18)*(1+IF($A20="Get Lucky Golf",Assumptions!$B$21-Assumptions!$B$20,0)*SUM(Assumptions!$D$69:$F$69)/Debt!$D$5)+Chain!F27*(1-Assumptions!$B$18)*(1+IF($A20="Get Lucky Golf",Assumptions!$B$21-Assumptions!$B$20,0)*SUM(Assumptions!$D$70:$F$70)/Debt!$J$5)+Chain!F44*(1-Assumptions!$B$18)*(1+IF($A20="Get Lucky Golf",Assumptions!$B$21-Assumptions!$B$20,0)*SUM(Assumptions!$D$71:$F$71)/Debt!$P$5))+F20</f>
        <v>127163336.17405</v>
      </c>
      <c r="H20" s="6" t="n">
        <f aca="false">(Chain!G77-($B20-Assumptions!$B$24)*Chain!G67-IF($A20="Get Lucky Golf",Assumptions!$B$21-Assumptions!$B$20,0)*(SUM(Assumptions!$D$69:$F$69)*Chain!G8+SUM(Assumptions!$D$70:$F$70)*Chain!G25+SUM(Assumptions!$D$71:$F$71)*Chain!G42)*Assumptions!$B$50)-((Debt!G87+Debt!G88)*(1+IF($A20="Get Lucky Golf",Assumptions!$B$21-Assumptions!$B$20,0)*SUM(Assumptions!$D$69:$F$69)/Debt!$D$5)+(Debt!G89+Debt!G90)*(1+IF($A20="Get Lucky Golf",Assumptions!$B$21-Assumptions!$B$20,0)*SUM(Assumptions!$D$70:$F$70)/Debt!$J$5)+(Debt!G91+Debt!G92)*(1+IF($A20="Get Lucky Golf",Assumptions!$B$21-Assumptions!$B$20,0)*SUM(Assumptions!$D$71:$F$71)/Debt!$P$5))-(Chain!G10*(1-Assumptions!$B$18)*(1+IF($A20="Get Lucky Golf",Assumptions!$B$21-Assumptions!$B$20,0)*SUM(Assumptions!$D$69:$F$69)/Debt!$D$5)+Chain!G27*(1-Assumptions!$B$18)*(1+IF($A20="Get Lucky Golf",Assumptions!$B$21-Assumptions!$B$20,0)*SUM(Assumptions!$D$70:$F$70)/Debt!$J$5)+Chain!G44*(1-Assumptions!$B$18)*(1+IF($A20="Get Lucky Golf",Assumptions!$B$21-Assumptions!$B$20,0)*SUM(Assumptions!$D$71:$F$71)/Debt!$P$5))+G20</f>
        <v>188036712.834579</v>
      </c>
    </row>
    <row r="21" customFormat="false" ht="15" hidden="false" customHeight="false" outlineLevel="0" collapsed="false">
      <c r="A21" s="9" t="s">
        <v>213</v>
      </c>
      <c r="B21" s="36" t="n">
        <f aca="false">B10</f>
        <v>0.25</v>
      </c>
      <c r="C21" s="6" t="n">
        <f aca="false">(Chain!B77-($B21-Assumptions!$B$24)*Chain!B67-IF($A21="Get Lucky Golf",Assumptions!$B$21-Assumptions!$B$20,0)*(SUM(Assumptions!$D$69:$F$69)*Chain!B8+SUM(Assumptions!$D$70:$F$70)*Chain!B25+SUM(Assumptions!$D$71:$F$71)*Chain!B42)*Assumptions!$B$50)-((Debt!B87+Debt!B88)*(1+IF($A21="Get Lucky Golf",Assumptions!$B$21-Assumptions!$B$20,0)*SUM(Assumptions!$D$69:$F$69)/Debt!$D$5)+(Debt!B89+Debt!B90)*(1+IF($A21="Get Lucky Golf",Assumptions!$B$21-Assumptions!$B$20,0)*SUM(Assumptions!$D$70:$F$70)/Debt!$J$5)+(Debt!B91+Debt!B92)*(1+IF($A21="Get Lucky Golf",Assumptions!$B$21-Assumptions!$B$20,0)*SUM(Assumptions!$D$71:$F$71)/Debt!$P$5))-(Chain!B10*(1-Assumptions!$B$18)*(1+IF($A21="Get Lucky Golf",Assumptions!$B$21-Assumptions!$B$20,0)*SUM(Assumptions!$D$69:$F$69)/Debt!$D$5)+Chain!B27*(1-Assumptions!$B$18)*(1+IF($A21="Get Lucky Golf",Assumptions!$B$21-Assumptions!$B$20,0)*SUM(Assumptions!$D$70:$F$70)/Debt!$J$5)+Chain!B44*(1-Assumptions!$B$18)*(1+IF($A21="Get Lucky Golf",Assumptions!$B$21-Assumptions!$B$20,0)*SUM(Assumptions!$D$71:$F$71)/Debt!$P$5))</f>
        <v>-10782031.1617647</v>
      </c>
      <c r="D21" s="6" t="n">
        <f aca="false">(Chain!C77-($B21-Assumptions!$B$24)*Chain!C67-IF($A21="Get Lucky Golf",Assumptions!$B$21-Assumptions!$B$20,0)*(SUM(Assumptions!$D$69:$F$69)*Chain!C8+SUM(Assumptions!$D$70:$F$70)*Chain!C25+SUM(Assumptions!$D$71:$F$71)*Chain!C42)*Assumptions!$B$50)-((Debt!C87+Debt!C88)*(1+IF($A21="Get Lucky Golf",Assumptions!$B$21-Assumptions!$B$20,0)*SUM(Assumptions!$D$69:$F$69)/Debt!$D$5)+(Debt!C89+Debt!C90)*(1+IF($A21="Get Lucky Golf",Assumptions!$B$21-Assumptions!$B$20,0)*SUM(Assumptions!$D$70:$F$70)/Debt!$J$5)+(Debt!C91+Debt!C92)*(1+IF($A21="Get Lucky Golf",Assumptions!$B$21-Assumptions!$B$20,0)*SUM(Assumptions!$D$71:$F$71)/Debt!$P$5))-(Chain!C10*(1-Assumptions!$B$18)*(1+IF($A21="Get Lucky Golf",Assumptions!$B$21-Assumptions!$B$20,0)*SUM(Assumptions!$D$69:$F$69)/Debt!$D$5)+Chain!C27*(1-Assumptions!$B$18)*(1+IF($A21="Get Lucky Golf",Assumptions!$B$21-Assumptions!$B$20,0)*SUM(Assumptions!$D$70:$F$70)/Debt!$J$5)+Chain!C44*(1-Assumptions!$B$18)*(1+IF($A21="Get Lucky Golf",Assumptions!$B$21-Assumptions!$B$20,0)*SUM(Assumptions!$D$71:$F$71)/Debt!$P$5))+C21</f>
        <v>-18115160.1715491</v>
      </c>
      <c r="E21" s="6" t="n">
        <f aca="false">(Chain!D77-($B21-Assumptions!$B$24)*Chain!D67-IF($A21="Get Lucky Golf",Assumptions!$B$21-Assumptions!$B$20,0)*(SUM(Assumptions!$D$69:$F$69)*Chain!D8+SUM(Assumptions!$D$70:$F$70)*Chain!D25+SUM(Assumptions!$D$71:$F$71)*Chain!D42)*Assumptions!$B$50)-((Debt!D87+Debt!D88)*(1+IF($A21="Get Lucky Golf",Assumptions!$B$21-Assumptions!$B$20,0)*SUM(Assumptions!$D$69:$F$69)/Debt!$D$5)+(Debt!D89+Debt!D90)*(1+IF($A21="Get Lucky Golf",Assumptions!$B$21-Assumptions!$B$20,0)*SUM(Assumptions!$D$70:$F$70)/Debt!$J$5)+(Debt!D91+Debt!D92)*(1+IF($A21="Get Lucky Golf",Assumptions!$B$21-Assumptions!$B$20,0)*SUM(Assumptions!$D$71:$F$71)/Debt!$P$5))-(Chain!D10*(1-Assumptions!$B$18)*(1+IF($A21="Get Lucky Golf",Assumptions!$B$21-Assumptions!$B$20,0)*SUM(Assumptions!$D$69:$F$69)/Debt!$D$5)+Chain!D27*(1-Assumptions!$B$18)*(1+IF($A21="Get Lucky Golf",Assumptions!$B$21-Assumptions!$B$20,0)*SUM(Assumptions!$D$70:$F$70)/Debt!$J$5)+Chain!D44*(1-Assumptions!$B$18)*(1+IF($A21="Get Lucky Golf",Assumptions!$B$21-Assumptions!$B$20,0)*SUM(Assumptions!$D$71:$F$71)/Debt!$P$5))+D21</f>
        <v>2185169.34490395</v>
      </c>
      <c r="F21" s="6" t="n">
        <f aca="false">(Chain!E77-($B21-Assumptions!$B$24)*Chain!E67-IF($A21="Get Lucky Golf",Assumptions!$B$21-Assumptions!$B$20,0)*(SUM(Assumptions!$D$69:$F$69)*Chain!E8+SUM(Assumptions!$D$70:$F$70)*Chain!E25+SUM(Assumptions!$D$71:$F$71)*Chain!E42)*Assumptions!$B$50)-((Debt!E87+Debt!E88)*(1+IF($A21="Get Lucky Golf",Assumptions!$B$21-Assumptions!$B$20,0)*SUM(Assumptions!$D$69:$F$69)/Debt!$D$5)+(Debt!E89+Debt!E90)*(1+IF($A21="Get Lucky Golf",Assumptions!$B$21-Assumptions!$B$20,0)*SUM(Assumptions!$D$70:$F$70)/Debt!$J$5)+(Debt!E91+Debt!E92)*(1+IF($A21="Get Lucky Golf",Assumptions!$B$21-Assumptions!$B$20,0)*SUM(Assumptions!$D$71:$F$71)/Debt!$P$5))-(Chain!E10*(1-Assumptions!$B$18)*(1+IF($A21="Get Lucky Golf",Assumptions!$B$21-Assumptions!$B$20,0)*SUM(Assumptions!$D$69:$F$69)/Debt!$D$5)+Chain!E27*(1-Assumptions!$B$18)*(1+IF($A21="Get Lucky Golf",Assumptions!$B$21-Assumptions!$B$20,0)*SUM(Assumptions!$D$70:$F$70)/Debt!$J$5)+Chain!E44*(1-Assumptions!$B$18)*(1+IF($A21="Get Lucky Golf",Assumptions!$B$21-Assumptions!$B$20,0)*SUM(Assumptions!$D$71:$F$71)/Debt!$P$5))+E21</f>
        <v>46775502.4135212</v>
      </c>
      <c r="G21" s="6" t="n">
        <f aca="false">(Chain!F77-($B21-Assumptions!$B$24)*Chain!F67-IF($A21="Get Lucky Golf",Assumptions!$B$21-Assumptions!$B$20,0)*(SUM(Assumptions!$D$69:$F$69)*Chain!F8+SUM(Assumptions!$D$70:$F$70)*Chain!F25+SUM(Assumptions!$D$71:$F$71)*Chain!F42)*Assumptions!$B$50)-((Debt!F87+Debt!F88)*(1+IF($A21="Get Lucky Golf",Assumptions!$B$21-Assumptions!$B$20,0)*SUM(Assumptions!$D$69:$F$69)/Debt!$D$5)+(Debt!F89+Debt!F90)*(1+IF($A21="Get Lucky Golf",Assumptions!$B$21-Assumptions!$B$20,0)*SUM(Assumptions!$D$70:$F$70)/Debt!$J$5)+(Debt!F91+Debt!F92)*(1+IF($A21="Get Lucky Golf",Assumptions!$B$21-Assumptions!$B$20,0)*SUM(Assumptions!$D$71:$F$71)/Debt!$P$5))-(Chain!F10*(1-Assumptions!$B$18)*(1+IF($A21="Get Lucky Golf",Assumptions!$B$21-Assumptions!$B$20,0)*SUM(Assumptions!$D$69:$F$69)/Debt!$D$5)+Chain!F27*(1-Assumptions!$B$18)*(1+IF($A21="Get Lucky Golf",Assumptions!$B$21-Assumptions!$B$20,0)*SUM(Assumptions!$D$70:$F$70)/Debt!$J$5)+Chain!F44*(1-Assumptions!$B$18)*(1+IF($A21="Get Lucky Golf",Assumptions!$B$21-Assumptions!$B$20,0)*SUM(Assumptions!$D$71:$F$71)/Debt!$P$5))+F21</f>
        <v>98339744.0005207</v>
      </c>
      <c r="H21" s="6" t="n">
        <f aca="false">(Chain!G77-($B21-Assumptions!$B$24)*Chain!G67-IF($A21="Get Lucky Golf",Assumptions!$B$21-Assumptions!$B$20,0)*(SUM(Assumptions!$D$69:$F$69)*Chain!G8+SUM(Assumptions!$D$70:$F$70)*Chain!G25+SUM(Assumptions!$D$71:$F$71)*Chain!G42)*Assumptions!$B$50)-((Debt!G87+Debt!G88)*(1+IF($A21="Get Lucky Golf",Assumptions!$B$21-Assumptions!$B$20,0)*SUM(Assumptions!$D$69:$F$69)/Debt!$D$5)+(Debt!G89+Debt!G90)*(1+IF($A21="Get Lucky Golf",Assumptions!$B$21-Assumptions!$B$20,0)*SUM(Assumptions!$D$70:$F$70)/Debt!$J$5)+(Debt!G91+Debt!G92)*(1+IF($A21="Get Lucky Golf",Assumptions!$B$21-Assumptions!$B$20,0)*SUM(Assumptions!$D$71:$F$71)/Debt!$P$5))-(Chain!G10*(1-Assumptions!$B$18)*(1+IF($A21="Get Lucky Golf",Assumptions!$B$21-Assumptions!$B$20,0)*SUM(Assumptions!$D$69:$F$69)/Debt!$D$5)+Chain!G27*(1-Assumptions!$B$18)*(1+IF($A21="Get Lucky Golf",Assumptions!$B$21-Assumptions!$B$20,0)*SUM(Assumptions!$D$70:$F$70)/Debt!$J$5)+Chain!G44*(1-Assumptions!$B$18)*(1+IF($A21="Get Lucky Golf",Assumptions!$B$21-Assumptions!$B$20,0)*SUM(Assumptions!$D$71:$F$71)/Debt!$P$5))+G21</f>
        <v>149903985.58752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216</v>
      </c>
      <c r="B1" s="2"/>
    </row>
    <row r="2" customFormat="false" ht="15" hidden="false" customHeight="false" outlineLevel="0" collapsed="false">
      <c r="A2" s="2"/>
      <c r="B2" s="2"/>
    </row>
    <row r="3" customFormat="false" ht="45" hidden="false" customHeight="true" outlineLevel="0" collapsed="false">
      <c r="A3" s="12" t="s">
        <v>217</v>
      </c>
      <c r="B3" s="37" t="s">
        <v>218</v>
      </c>
    </row>
    <row r="4" customFormat="false" ht="45" hidden="false" customHeight="true" outlineLevel="0" collapsed="false">
      <c r="A4" s="12" t="s">
        <v>219</v>
      </c>
      <c r="B4" s="37" t="s">
        <v>220</v>
      </c>
    </row>
    <row r="5" customFormat="false" ht="45" hidden="false" customHeight="true" outlineLevel="0" collapsed="false">
      <c r="A5" s="12" t="s">
        <v>221</v>
      </c>
      <c r="B5" s="37" t="s">
        <v>222</v>
      </c>
    </row>
    <row r="6" customFormat="false" ht="45" hidden="false" customHeight="true" outlineLevel="0" collapsed="false">
      <c r="A6" s="12" t="s">
        <v>223</v>
      </c>
      <c r="B6" s="37" t="s">
        <v>224</v>
      </c>
    </row>
    <row r="7" customFormat="false" ht="45" hidden="false" customHeight="true" outlineLevel="0" collapsed="false">
      <c r="A7" s="12" t="s">
        <v>225</v>
      </c>
      <c r="B7" s="37" t="s">
        <v>226</v>
      </c>
    </row>
    <row r="8" customFormat="false" ht="45" hidden="false" customHeight="true" outlineLevel="0" collapsed="false">
      <c r="A8" s="12" t="s">
        <v>227</v>
      </c>
      <c r="B8" s="37" t="s">
        <v>228</v>
      </c>
    </row>
    <row r="9" customFormat="false" ht="45" hidden="false" customHeight="true" outlineLevel="0" collapsed="false">
      <c r="A9" s="12" t="s">
        <v>229</v>
      </c>
      <c r="B9" s="37" t="s">
        <v>230</v>
      </c>
    </row>
    <row r="10" customFormat="false" ht="45" hidden="false" customHeight="true" outlineLevel="0" collapsed="false">
      <c r="A10" s="12" t="s">
        <v>231</v>
      </c>
      <c r="B10" s="37" t="s">
        <v>232</v>
      </c>
    </row>
    <row r="11" customFormat="false" ht="45" hidden="false" customHeight="true" outlineLevel="0" collapsed="false">
      <c r="A11" s="12" t="s">
        <v>233</v>
      </c>
      <c r="B11" s="37" t="s">
        <v>234</v>
      </c>
    </row>
    <row r="12" customFormat="false" ht="45" hidden="false" customHeight="true" outlineLevel="0" collapsed="false">
      <c r="A12" s="12" t="s">
        <v>235</v>
      </c>
      <c r="B12" s="37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2026-09-11T08:22:50Z</dcterms:created>
  <dc:creator>openpyxl</dc:creator>
  <dc:description/>
  <dc:language>en-US</dc:language>
  <cp:lastModifiedBy/>
  <dcterms:modified xsi:type="dcterms:W3CDTF">2026-09-11T08:22:50Z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