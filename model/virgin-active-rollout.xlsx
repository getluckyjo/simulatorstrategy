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lout" sheetId="1" state="visible" r:id="rId3"/>
    <sheet name="Assumptions" sheetId="2" state="visible" r:id="rId4"/>
    <sheet name="Clubs" sheetId="3" state="visible" r:id="rId5"/>
  </sheets>
  <definedNames>
    <definedName function="false" hidden="true" localSheetId="2" name="_xlnm._FilterDatabase" vbProcedure="false">Clubs!$A$4:$T$123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<sst xmlns="http://schemas.openxmlformats.org/spreadsheetml/2006/main" count="1133" uniqueCount="528">
  <si>
    <t xml:space="preserve">Rollout plan · 200 Golfzon bays in 130 Virgin Active clubs, 2027–2029</t>
  </si>
  <si>
    <t xml:space="preserve">Which clubs go first, and what each phase is worth. Everything below is a formula over the Clubs sheet; edit the yellow cells there.</t>
  </si>
  <si>
    <t xml:space="preserve">Phases</t>
  </si>
  <si>
    <t xml:space="preserve">Phase</t>
  </si>
  <si>
    <t xml:space="preserve">What</t>
  </si>
  <si>
    <t xml:space="preserve">Year</t>
  </si>
  <si>
    <t xml:space="preserve">Bay type</t>
  </si>
  <si>
    <t xml:space="preserve">Bays a club</t>
  </si>
  <si>
    <t xml:space="preserve">Named clubs</t>
  </si>
  <si>
    <t xml:space="preserve">Slots still to name</t>
  </si>
  <si>
    <t xml:space="preserve">Clubs in model</t>
  </si>
  <si>
    <t xml:space="preserve">Bays</t>
  </si>
  <si>
    <t xml:space="preserve">Landed capex (R)</t>
  </si>
  <si>
    <t xml:space="preserve">Mature revenue (R/yr)</t>
  </si>
  <si>
    <t xml:space="preserve">Virgin Active share (R/yr)</t>
  </si>
  <si>
    <t xml:space="preserve">Debt drawn (R)</t>
  </si>
  <si>
    <t xml:space="preserve">Get Lucky Golf equity (R)</t>
  </si>
  <si>
    <t xml:space="preserve">Collection and flagship clubs, two Signature bays each. Johannesburg first.</t>
  </si>
  <si>
    <t xml:space="preserve">Signature</t>
  </si>
  <si>
    <t xml:space="preserve">Large metro clubs, two Play bays each.</t>
  </si>
  <si>
    <t xml:space="preserve">Play</t>
  </si>
  <si>
    <t xml:space="preserve">Every other club, one bay: Play in metros, Practice coaching bays elsewhere.</t>
  </si>
  <si>
    <t xml:space="preserve">Play / Practice</t>
  </si>
  <si>
    <t xml:space="preserve">Total</t>
  </si>
  <si>
    <t xml:space="preserve">Slots still to name are Practice bays at clubs not yet indexed online (Virgin Active publishes 136 clubs; 119 found). Capex and revenue for those use the Practice bay.</t>
  </si>
  <si>
    <t xml:space="preserve">Checks: bays should read 200 and capex 179.9m, the same as the financial model (model.json).</t>
  </si>
  <si>
    <t xml:space="preserve">Model capex (R)</t>
  </si>
  <si>
    <t xml:space="preserve">Difference</t>
  </si>
  <si>
    <t xml:space="preserve">Clubs by region and phase</t>
  </si>
  <si>
    <t xml:space="preserve">Region</t>
  </si>
  <si>
    <t xml:space="preserve">Phase 1</t>
  </si>
  <si>
    <t xml:space="preserve">Phase 2</t>
  </si>
  <si>
    <t xml:space="preserve">Phase 3</t>
  </si>
  <si>
    <t xml:space="preserve">Clubs</t>
  </si>
  <si>
    <t xml:space="preserve">Gauteng</t>
  </si>
  <si>
    <t xml:space="preserve">Western Cape</t>
  </si>
  <si>
    <t xml:space="preserve">KwaZulu-Natal</t>
  </si>
  <si>
    <t xml:space="preserve">Eastern Cape</t>
  </si>
  <si>
    <t xml:space="preserve">Free State</t>
  </si>
  <si>
    <t xml:space="preserve">Mpumalanga</t>
  </si>
  <si>
    <t xml:space="preserve">Limpopo</t>
  </si>
  <si>
    <t xml:space="preserve">North West</t>
  </si>
  <si>
    <t xml:space="preserve">Northern Cape</t>
  </si>
  <si>
    <t xml:space="preserve">Botswana</t>
  </si>
  <si>
    <t xml:space="preserve">Namibia</t>
  </si>
  <si>
    <t xml:space="preserve">Phase 1 in order · the first 20 clubs</t>
  </si>
  <si>
    <t xml:space="preserve">Order</t>
  </si>
  <si>
    <t xml:space="preserve">Club</t>
  </si>
  <si>
    <t xml:space="preserve">Area</t>
  </si>
  <si>
    <t xml:space="preserve">Tier</t>
  </si>
  <si>
    <t xml:space="preserve">Install window</t>
  </si>
  <si>
    <t xml:space="preserve">Why this club</t>
  </si>
  <si>
    <t xml:space="preserve">Timeline from the pitch</t>
  </si>
  <si>
    <t xml:space="preserve">When</t>
  </si>
  <si>
    <t xml:space="preserve">Milestone</t>
  </si>
  <si>
    <t xml:space="preserve">Q4 2026</t>
  </si>
  <si>
    <t xml:space="preserve">Meet Virgin Active in Cape Town</t>
  </si>
  <si>
    <t xml:space="preserve">Oct 2026</t>
  </si>
  <si>
    <t xml:space="preserve">Golfzon HQ: reference design and pricing</t>
  </si>
  <si>
    <t xml:space="preserve">Dec 2026</t>
  </si>
  <si>
    <t xml:space="preserve">Phase one facility drawn, order placed (RMB or the bank Virgin Active prefers)</t>
  </si>
  <si>
    <t xml:space="preserve">Jan 2027</t>
  </si>
  <si>
    <t xml:space="preserve">Reference design signed off with Virgin Active</t>
  </si>
  <si>
    <t xml:space="preserve">Mid 2027</t>
  </si>
  <si>
    <t xml:space="preserve">First flagship opens in Johannesburg: two Signature bays. Then 19 more flagship clubs.</t>
  </si>
  <si>
    <t xml:space="preserve">2028</t>
  </si>
  <si>
    <t xml:space="preserve">Phase 2: 50 metro clubs, 100 Play bays</t>
  </si>
  <si>
    <t xml:space="preserve">2029</t>
  </si>
  <si>
    <t xml:space="preserve">Phase 3: 60 clubs, 60 bays. Chain complete at 200 bays in 130 clubs</t>
  </si>
  <si>
    <t xml:space="preserve">Clubs closed since 2025 (not in the plan)</t>
  </si>
  <si>
    <t xml:space="preserve">Closed</t>
  </si>
  <si>
    <t xml:space="preserve">Source</t>
  </si>
  <si>
    <t xml:space="preserve">Jabulani RED, Soweto</t>
  </si>
  <si>
    <t xml:space="preserve">31 May 2025</t>
  </si>
  <si>
    <t xml:space="preserve">Moneyweb, 18 Jun 2025</t>
  </si>
  <si>
    <t xml:space="preserve">Boulders, Midrand</t>
  </si>
  <si>
    <t xml:space="preserve">June 2025</t>
  </si>
  <si>
    <t xml:space="preserve">Virgin Active support notices</t>
  </si>
  <si>
    <t xml:space="preserve">Riverside, Nelspruit</t>
  </si>
  <si>
    <t xml:space="preserve">July 2025</t>
  </si>
  <si>
    <t xml:space="preserve">Parow RED, Cape Town</t>
  </si>
  <si>
    <t xml:space="preserve">2026</t>
  </si>
  <si>
    <t xml:space="preserve">Member posts, 2026</t>
  </si>
  <si>
    <t xml:space="preserve">Legend</t>
  </si>
  <si>
    <t xml:space="preserve">Input</t>
  </si>
  <si>
    <t xml:space="preserve">Yellow cells on the Clubs sheet are the plan. Blue text is an input you can change.</t>
  </si>
  <si>
    <t xml:space="preserve">Formula</t>
  </si>
  <si>
    <t xml:space="preserve">Black text is calculated. Green text links to another sheet.</t>
  </si>
  <si>
    <t xml:space="preserve">Sources</t>
  </si>
  <si>
    <t xml:space="preserve">virginactive.co.za club pages (Sept 2026); Moneyweb and The Citizen on closures; Wikipedia and virgin.com for the 136-club count; model/model.py for every number.</t>
  </si>
  <si>
    <t xml:space="preserve">Assumptions · Get Lucky Golf × Virgin Active (Virgin Golf concept)</t>
  </si>
  <si>
    <t xml:space="preserve">Blue = input you can change. Black = formula. Every figure ties to model/model.py in the simulatorstrategy repo. ZAR ex VAT.</t>
  </si>
  <si>
    <t xml:space="preserve">Chain inputs</t>
  </si>
  <si>
    <t xml:space="preserve">Value</t>
  </si>
  <si>
    <t xml:space="preserve">Note</t>
  </si>
  <si>
    <t xml:space="preserve">FX (ZAR per USD)</t>
  </si>
  <si>
    <t xml:space="preserve">Same FX as the Get Lucky investor model</t>
  </si>
  <si>
    <t xml:space="preserve">Landed factor on hardware</t>
  </si>
  <si>
    <t xml:space="preserve">Freight, duty, enclosure, screen, seating, install</t>
  </si>
  <si>
    <t xml:space="preserve">Bookable hours per bay a year</t>
  </si>
  <si>
    <t xml:space="preserve">15 hours a day × 360 days</t>
  </si>
  <si>
    <t xml:space="preserve">Virgin Active share of shared revenue</t>
  </si>
  <si>
    <t xml:space="preserve">Opening position, negotiable (15%–25% on the pitch)</t>
  </si>
  <si>
    <t xml:space="preserve">Golf add-on on the Virgin Active bill (R a month)</t>
  </si>
  <si>
    <t xml:space="preserve">Ex VAT</t>
  </si>
  <si>
    <t xml:space="preserve">Add-on adoption at clubs with bays</t>
  </si>
  <si>
    <t xml:space="preserve">Of members, at maturity</t>
  </si>
  <si>
    <t xml:space="preserve">Members per club (chain average)</t>
  </si>
  <si>
    <t xml:space="preserve">623,000 members ÷ 136 clubs. No per-club data published</t>
  </si>
  <si>
    <t xml:space="preserve">Clubs in the model</t>
  </si>
  <si>
    <t xml:space="preserve">Model phases: 20 + 50 + 60</t>
  </si>
  <si>
    <t xml:space="preserve">Bays in the model</t>
  </si>
  <si>
    <t xml:space="preserve">40 + 100 + 60</t>
  </si>
  <si>
    <t xml:space="preserve">Leagues, events, corporate per bay a year</t>
  </si>
  <si>
    <t xml:space="preserve">At maturity</t>
  </si>
  <si>
    <t xml:space="preserve">Naming sponsor per bay a year</t>
  </si>
  <si>
    <t xml:space="preserve">Get Lucky insured shot, net per booked hour</t>
  </si>
  <si>
    <t xml:space="preserve">R50 × 0.625 taken per hour × 76% after premium</t>
  </si>
  <si>
    <t xml:space="preserve">Debt share of landed capex</t>
  </si>
  <si>
    <t xml:space="preserve">RMB or the bank Virgin Active prefers</t>
  </si>
  <si>
    <t xml:space="preserve">Bay types</t>
  </si>
  <si>
    <t xml:space="preserve">Golfzon system</t>
  </si>
  <si>
    <t xml:space="preserve">Hardware (USD)</t>
  </si>
  <si>
    <t xml:space="preserve">Mature utilisation</t>
  </si>
  <si>
    <t xml:space="preserve">Yield per booked hour (R)</t>
  </si>
  <si>
    <t xml:space="preserve">Booked hours a year</t>
  </si>
  <si>
    <t xml:space="preserve">Bay hire (R/yr)</t>
  </si>
  <si>
    <t xml:space="preserve">Membership add-on per bay (R/yr)</t>
  </si>
  <si>
    <t xml:space="preserve">Leagues and events (R/yr)</t>
  </si>
  <si>
    <t xml:space="preserve">Insured shot (R/yr)</t>
  </si>
  <si>
    <t xml:space="preserve">Sponsorship (R/yr)</t>
  </si>
  <si>
    <t xml:space="preserve">Revenue per bay (R/yr)</t>
  </si>
  <si>
    <t xml:space="preserve">Virgin Active share per bay (R/yr)</t>
  </si>
  <si>
    <t xml:space="preserve">Golfzon TwoVision NX</t>
  </si>
  <si>
    <t xml:space="preserve">Golfzon Vision Standard</t>
  </si>
  <si>
    <t xml:space="preserve">Practice</t>
  </si>
  <si>
    <t xml:space="preserve">Golfzon GDR Plus</t>
  </si>
  <si>
    <t xml:space="preserve">Utilisation is mature (year 3). The model ramps 55% in year 1 and 80% in year 2. Membership add-on is the chain figure spread evenly per bay.</t>
  </si>
  <si>
    <t xml:space="preserve">Clubs · 119 Virgin Active clubs found, 116 in South Africa, in install order</t>
  </si>
  <si>
    <t xml:space="preserve">Yellow cells are the plan: change Phase, Order, Bays or Bay type and the money recalculates. Virgin Active publishes 136 clubs across SA, Botswana and Namibia; the rest are not indexed online.</t>
  </si>
  <si>
    <t xml:space="preserve">#</t>
  </si>
  <si>
    <t xml:space="preserve">Order in phase</t>
  </si>
  <si>
    <t xml:space="preserve">Mature booked hours a year</t>
  </si>
  <si>
    <t xml:space="preserve">Mature bay hire (R/yr)</t>
  </si>
  <si>
    <t xml:space="preserve">Notes</t>
  </si>
  <si>
    <t xml:space="preserve">Club page</t>
  </si>
  <si>
    <t xml:space="preserve">Alice Lane</t>
  </si>
  <si>
    <t xml:space="preserve">Sandton</t>
  </si>
  <si>
    <t xml:space="preserve">Collection</t>
  </si>
  <si>
    <t xml:space="preserve">Mid 2027 · reference zone</t>
  </si>
  <si>
    <t xml:space="preserve">Newest Sandton Collection club. The Johannesburg flagship and the reference zone the rest of the chain is built from.</t>
  </si>
  <si>
    <t xml:space="preserve">https://www.virginactive.co.za/gyms/alice-lane</t>
  </si>
  <si>
    <t xml:space="preserve">Melrose Arch</t>
  </si>
  <si>
    <t xml:space="preserve">Johannesburg</t>
  </si>
  <si>
    <t xml:space="preserve">Q3 2027</t>
  </si>
  <si>
    <t xml:space="preserve">Original Collection club, precinct with hospitality and retail footfall. Second Johannesburg Signature zone.</t>
  </si>
  <si>
    <t xml:space="preserve">https://www.virginactive.co.za/gyms/melrose-arch</t>
  </si>
  <si>
    <t xml:space="preserve">Menlyn Maine</t>
  </si>
  <si>
    <t xml:space="preserve">Pretoria</t>
  </si>
  <si>
    <t xml:space="preserve">Pretoria's Collection club. Anchors the east-Pretoria cluster.</t>
  </si>
  <si>
    <t xml:space="preserve">https://www.virginactive.co.za/gyms/menlyn-maine</t>
  </si>
  <si>
    <t xml:space="preserve">Flagship club in Sandton. High-income catchment, two Signature bays.</t>
  </si>
  <si>
    <t xml:space="preserve">https://www.virginactive.co.za/gyms/sandton</t>
  </si>
  <si>
    <t xml:space="preserve">Bryanston</t>
  </si>
  <si>
    <t xml:space="preserve">https://www.virginactive.co.za/gyms/bryanston</t>
  </si>
  <si>
    <t xml:space="preserve">Morningside</t>
  </si>
  <si>
    <t xml:space="preserve">https://www.virginactive.co.za/gyms/morningside</t>
  </si>
  <si>
    <t xml:space="preserve">Waterfall</t>
  </si>
  <si>
    <t xml:space="preserve">Midrand</t>
  </si>
  <si>
    <t xml:space="preserve">Flagship club in Midrand. High-income catchment, two Signature bays.</t>
  </si>
  <si>
    <t xml:space="preserve">https://www.virginactive.co.za/gyms/waterfall</t>
  </si>
  <si>
    <t xml:space="preserve">Centurion</t>
  </si>
  <si>
    <t xml:space="preserve">Q4 2027</t>
  </si>
  <si>
    <t xml:space="preserve">Already runs padel courts, so members book court time. Proves the booked-like-padel model.</t>
  </si>
  <si>
    <t xml:space="preserve">Has padel courts</t>
  </si>
  <si>
    <t xml:space="preserve">https://www.virginactive.co.za/gyms/centurion</t>
  </si>
  <si>
    <t xml:space="preserve">Rosebank</t>
  </si>
  <si>
    <t xml:space="preserve">Flagship club in Johannesburg. High-income catchment, two Signature bays.</t>
  </si>
  <si>
    <t xml:space="preserve">https://www.virginactive.co.za/gyms/rosebank</t>
  </si>
  <si>
    <t xml:space="preserve">Dainfern</t>
  </si>
  <si>
    <t xml:space="preserve">Fourways</t>
  </si>
  <si>
    <t xml:space="preserve">Flagship club in Fourways. High-income catchment, two Signature bays.</t>
  </si>
  <si>
    <t xml:space="preserve">https://www.virginactive.co.za/gyms/dainfern</t>
  </si>
  <si>
    <t xml:space="preserve">Silo District</t>
  </si>
  <si>
    <t xml:space="preserve">V&amp;A Waterfront</t>
  </si>
  <si>
    <t xml:space="preserve">Waterfront Collection club, tourist and corporate footfall. Cape Town Signature zone.</t>
  </si>
  <si>
    <t xml:space="preserve">https://www.virginactive.co.za/gyms/silo-district</t>
  </si>
  <si>
    <t xml:space="preserve">Wembley Square</t>
  </si>
  <si>
    <t xml:space="preserve">Gardens</t>
  </si>
  <si>
    <t xml:space="preserve">Reopening as the first Collection Urban Club. Design the golf zone into the new build rather than retrofit.</t>
  </si>
  <si>
    <t xml:space="preserve">Reopening as first Collection Urban Club</t>
  </si>
  <si>
    <t xml:space="preserve">https://www.virginactive.co.za/gyms/wembley-square</t>
  </si>
  <si>
    <t xml:space="preserve">Claremont</t>
  </si>
  <si>
    <t xml:space="preserve">Southern Suburbs</t>
  </si>
  <si>
    <t xml:space="preserve">Flagship club in Southern Suburbs. High-income catchment, two Signature bays.</t>
  </si>
  <si>
    <t xml:space="preserve">https://www.virginactive.co.za/gyms/claremont</t>
  </si>
  <si>
    <t xml:space="preserve">Constantia</t>
  </si>
  <si>
    <t xml:space="preserve">https://www.virginactive.co.za/gyms/constantia</t>
  </si>
  <si>
    <t xml:space="preserve">Century City</t>
  </si>
  <si>
    <t xml:space="preserve">Flagship club in Century City. High-income catchment, two Signature bays.</t>
  </si>
  <si>
    <t xml:space="preserve">https://www.virginactive.co.za/gyms/century-city</t>
  </si>
  <si>
    <t xml:space="preserve">Tygervalley</t>
  </si>
  <si>
    <t xml:space="preserve">Northern Suburbs</t>
  </si>
  <si>
    <t xml:space="preserve">Flagship club in Northern Suburbs. High-income catchment, two Signature bays.</t>
  </si>
  <si>
    <t xml:space="preserve">https://www.virginactive.co.za/gyms/tygervalley</t>
  </si>
  <si>
    <t xml:space="preserve">Moses Mabhida</t>
  </si>
  <si>
    <t xml:space="preserve">Durban</t>
  </si>
  <si>
    <t xml:space="preserve">Durban's Collection club inside the stadium. KwaZulu-Natal Signature zone.</t>
  </si>
  <si>
    <t xml:space="preserve">https://www.virginactive.co.za/gyms/moses-mabhida</t>
  </si>
  <si>
    <t xml:space="preserve">Gateway</t>
  </si>
  <si>
    <t xml:space="preserve">uMhlanga</t>
  </si>
  <si>
    <t xml:space="preserve">Flagship club in uMhlanga. High-income catchment, two Signature bays.</t>
  </si>
  <si>
    <t xml:space="preserve">https://www.virginactive.co.za/gyms/gateway</t>
  </si>
  <si>
    <t xml:space="preserve">La Lucia</t>
  </si>
  <si>
    <t xml:space="preserve">https://www.virginactive.co.za/gyms/la-lucia</t>
  </si>
  <si>
    <t xml:space="preserve">Ballito</t>
  </si>
  <si>
    <t xml:space="preserve">North Coast</t>
  </si>
  <si>
    <t xml:space="preserve">Flagship club in North Coast. High-income catchment, two Signature bays.</t>
  </si>
  <si>
    <t xml:space="preserve">https://www.virginactive.co.za/gyms/ballito</t>
  </si>
  <si>
    <t xml:space="preserve">Sandton CBD</t>
  </si>
  <si>
    <t xml:space="preserve">H1 2028</t>
  </si>
  <si>
    <t xml:space="preserve">Large metro club in Sandton. Two Play bays.</t>
  </si>
  <si>
    <t xml:space="preserve">https://www.virginactive.co.za/gyms/sandton-cbd</t>
  </si>
  <si>
    <t xml:space="preserve">Sunninghill</t>
  </si>
  <si>
    <t xml:space="preserve">https://www.virginactive.co.za/gyms/sunninghill</t>
  </si>
  <si>
    <t xml:space="preserve">Old Eds</t>
  </si>
  <si>
    <t xml:space="preserve">Houghton</t>
  </si>
  <si>
    <t xml:space="preserve">Large metro club in Houghton. Two Play bays.</t>
  </si>
  <si>
    <t xml:space="preserve">https://www.virginactive.co.za/gyms/old-eds</t>
  </si>
  <si>
    <t xml:space="preserve">Victory Park</t>
  </si>
  <si>
    <t xml:space="preserve">Randburg</t>
  </si>
  <si>
    <t xml:space="preserve">Large metro club in Randburg. Two Play bays.</t>
  </si>
  <si>
    <t xml:space="preserve">https://www.virginactive.co.za/gyms/victory-park</t>
  </si>
  <si>
    <t xml:space="preserve">https://www.virginactive.co.za/gyms/randburg</t>
  </si>
  <si>
    <t xml:space="preserve">Cresta</t>
  </si>
  <si>
    <t xml:space="preserve">https://www.virginactive.co.za/gyms/cresta</t>
  </si>
  <si>
    <t xml:space="preserve">Northgate</t>
  </si>
  <si>
    <t xml:space="preserve">https://www.virginactive.co.za/gyms/northgate</t>
  </si>
  <si>
    <t xml:space="preserve">Honeydew</t>
  </si>
  <si>
    <t xml:space="preserve">Roodepoort</t>
  </si>
  <si>
    <t xml:space="preserve">Large metro club in Roodepoort. Two Play bays.</t>
  </si>
  <si>
    <t xml:space="preserve">https://www.virginactive.co.za/gyms/honeydew</t>
  </si>
  <si>
    <t xml:space="preserve">Cradlestone</t>
  </si>
  <si>
    <t xml:space="preserve">West Rand</t>
  </si>
  <si>
    <t xml:space="preserve">Large metro club in West Rand. Two Play bays.</t>
  </si>
  <si>
    <t xml:space="preserve">https://www.virginactive.co.za/gyms/cradlestone</t>
  </si>
  <si>
    <t xml:space="preserve">Lonehill</t>
  </si>
  <si>
    <t xml:space="preserve">Large metro club in Fourways. Two Play bays.</t>
  </si>
  <si>
    <t xml:space="preserve">https://www.virginactive.co.za/gyms/lonehill</t>
  </si>
  <si>
    <t xml:space="preserve">Broadacres</t>
  </si>
  <si>
    <t xml:space="preserve">https://www.virginactive.co.za/gyms/broadacres</t>
  </si>
  <si>
    <t xml:space="preserve">Cedar Square</t>
  </si>
  <si>
    <t xml:space="preserve">https://www.virginactive.co.za/gyms/cedar-square</t>
  </si>
  <si>
    <t xml:space="preserve">Bryan Park</t>
  </si>
  <si>
    <t xml:space="preserve">Large metro club in Bryanston. Two Play bays.</t>
  </si>
  <si>
    <t xml:space="preserve">https://www.virginactive.co.za/gyms/bryan-park</t>
  </si>
  <si>
    <t xml:space="preserve">Vodaworld</t>
  </si>
  <si>
    <t xml:space="preserve">Large metro club in Midrand. Two Play bays.</t>
  </si>
  <si>
    <t xml:space="preserve">https://www.virginactive.co.za/gyms/vodaworld</t>
  </si>
  <si>
    <t xml:space="preserve">Kyalami Corner</t>
  </si>
  <si>
    <t xml:space="preserve">https://www.virginactive.co.za/gyms/kyalami-corner</t>
  </si>
  <si>
    <t xml:space="preserve">Carlswald</t>
  </si>
  <si>
    <t xml:space="preserve">https://www.virginactive.co.za/gyms/carlswald</t>
  </si>
  <si>
    <t xml:space="preserve">Bedfordview</t>
  </si>
  <si>
    <t xml:space="preserve">East Rand</t>
  </si>
  <si>
    <t xml:space="preserve">Large metro club in East Rand. Two Play bays.</t>
  </si>
  <si>
    <t xml:space="preserve">https://www.virginactive.co.za/gyms/bedfordview</t>
  </si>
  <si>
    <t xml:space="preserve">Greenstone Park</t>
  </si>
  <si>
    <t xml:space="preserve">https://www.virginactive.co.za/gyms/greenstone-park</t>
  </si>
  <si>
    <t xml:space="preserve">Boksburg K90</t>
  </si>
  <si>
    <t xml:space="preserve">Boksburg</t>
  </si>
  <si>
    <t xml:space="preserve">Large metro club in Boksburg. Two Play bays.</t>
  </si>
  <si>
    <t xml:space="preserve">https://www.virginactive.co.za/gyms/boksburg-k90</t>
  </si>
  <si>
    <t xml:space="preserve">Meyersdal</t>
  </si>
  <si>
    <t xml:space="preserve">Alberton</t>
  </si>
  <si>
    <t xml:space="preserve">Large metro club in Alberton. Two Play bays.</t>
  </si>
  <si>
    <t xml:space="preserve">https://www.virginactive.co.za/gyms/meyersdal</t>
  </si>
  <si>
    <t xml:space="preserve">Glenvista</t>
  </si>
  <si>
    <t xml:space="preserve">Johannesburg South</t>
  </si>
  <si>
    <t xml:space="preserve">Large metro club in Johannesburg South. Two Play bays.</t>
  </si>
  <si>
    <t xml:space="preserve">https://www.virginactive.co.za/gyms/glenvista</t>
  </si>
  <si>
    <t xml:space="preserve">Menlyn</t>
  </si>
  <si>
    <t xml:space="preserve">Large metro club in Pretoria. Two Play bays.</t>
  </si>
  <si>
    <t xml:space="preserve">https://www.virginactive.co.za/gyms/menlyn</t>
  </si>
  <si>
    <t xml:space="preserve">Faerie Glen</t>
  </si>
  <si>
    <t xml:space="preserve">Pretoria East</t>
  </si>
  <si>
    <t xml:space="preserve">Large metro club in Pretoria East. Two Play bays.</t>
  </si>
  <si>
    <t xml:space="preserve">https://www.virginactive.co.za/gyms/faerie-glen</t>
  </si>
  <si>
    <t xml:space="preserve">Hazeldean</t>
  </si>
  <si>
    <t xml:space="preserve">https://www.virginactive.co.za/gyms/hazeldean</t>
  </si>
  <si>
    <t xml:space="preserve">Groenkloof</t>
  </si>
  <si>
    <t xml:space="preserve">https://www.virginactive.co.za/gyms/groenkloof</t>
  </si>
  <si>
    <t xml:space="preserve">Eco Park</t>
  </si>
  <si>
    <t xml:space="preserve">H2 2028</t>
  </si>
  <si>
    <t xml:space="preserve">Large metro club in Centurion. Two Play bays.</t>
  </si>
  <si>
    <t xml:space="preserve">https://www.virginactive.co.za/gyms/eco-park</t>
  </si>
  <si>
    <t xml:space="preserve">Cape Town Foreshore</t>
  </si>
  <si>
    <t xml:space="preserve">City Centre</t>
  </si>
  <si>
    <t xml:space="preserve">Large metro club in City Centre. Two Play bays.</t>
  </si>
  <si>
    <t xml:space="preserve">https://www.virginactive.co.za/gyms/cape-town-foreshore</t>
  </si>
  <si>
    <t xml:space="preserve">Kenilworth</t>
  </si>
  <si>
    <t xml:space="preserve">Large metro club in Southern Suburbs. Two Play bays.</t>
  </si>
  <si>
    <t xml:space="preserve">https://www.virginactive.co.za/gyms/kenilworth</t>
  </si>
  <si>
    <t xml:space="preserve">Steenberg</t>
  </si>
  <si>
    <t xml:space="preserve">Tokai</t>
  </si>
  <si>
    <t xml:space="preserve">Large metro club in Tokai. Two Play bays.</t>
  </si>
  <si>
    <t xml:space="preserve">https://www.virginactive.co.za/gyms/steenberg</t>
  </si>
  <si>
    <t xml:space="preserve">Sun Valley</t>
  </si>
  <si>
    <t xml:space="preserve">South Peninsula</t>
  </si>
  <si>
    <t xml:space="preserve">Large metro club in South Peninsula. Two Play bays.</t>
  </si>
  <si>
    <t xml:space="preserve">https://www.virginactive.co.za/gyms/sun-valley</t>
  </si>
  <si>
    <t xml:space="preserve">Table Bay Mall</t>
  </si>
  <si>
    <t xml:space="preserve">West Coast</t>
  </si>
  <si>
    <t xml:space="preserve">Large metro club in West Coast. Two Play bays.</t>
  </si>
  <si>
    <t xml:space="preserve">https://www.virginactive.co.za/gyms/table-bay-mall</t>
  </si>
  <si>
    <t xml:space="preserve">Durbanville</t>
  </si>
  <si>
    <t xml:space="preserve">Large metro club in Northern Suburbs. Two Play bays.</t>
  </si>
  <si>
    <t xml:space="preserve">https://www.virginactive.co.za/gyms/durbanville</t>
  </si>
  <si>
    <t xml:space="preserve">Brackenfell</t>
  </si>
  <si>
    <t xml:space="preserve">https://www.virginactive.co.za/gyms/brackenfell</t>
  </si>
  <si>
    <t xml:space="preserve">The Sanctuary</t>
  </si>
  <si>
    <t xml:space="preserve">Somerset West</t>
  </si>
  <si>
    <t xml:space="preserve">Large metro club in Somerset West. Two Play bays.</t>
  </si>
  <si>
    <t xml:space="preserve">https://www.virginactive.co.za/gyms/the-sanctuary</t>
  </si>
  <si>
    <t xml:space="preserve">Waterstone Village</t>
  </si>
  <si>
    <t xml:space="preserve">https://www.virginactive.co.za/gyms/waterstone-village</t>
  </si>
  <si>
    <t xml:space="preserve">Stellenbosch</t>
  </si>
  <si>
    <t xml:space="preserve">Winelands</t>
  </si>
  <si>
    <t xml:space="preserve">Large metro club in Winelands. Two Play bays.</t>
  </si>
  <si>
    <t xml:space="preserve">https://www.virginactive.co.za/gyms/stellenbosch</t>
  </si>
  <si>
    <t xml:space="preserve">Paarl</t>
  </si>
  <si>
    <t xml:space="preserve">https://www.virginactive.co.za/gyms/paarl</t>
  </si>
  <si>
    <t xml:space="preserve">George</t>
  </si>
  <si>
    <t xml:space="preserve">Garden Route</t>
  </si>
  <si>
    <t xml:space="preserve">Large metro club in Garden Route. Two Play bays.</t>
  </si>
  <si>
    <t xml:space="preserve">https://www.virginactive.co.za/gyms/george</t>
  </si>
  <si>
    <t xml:space="preserve">Cornubia</t>
  </si>
  <si>
    <t xml:space="preserve">Large metro club in uMhlanga. Two Play bays.</t>
  </si>
  <si>
    <t xml:space="preserve">https://www.virginactive.co.za/gyms/cornubia</t>
  </si>
  <si>
    <t xml:space="preserve">Kings Park</t>
  </si>
  <si>
    <t xml:space="preserve">Large metro club in Durban. Two Play bays.</t>
  </si>
  <si>
    <t xml:space="preserve">https://www.virginactive.co.za/gyms/kings-park</t>
  </si>
  <si>
    <t xml:space="preserve">Hillcrest</t>
  </si>
  <si>
    <t xml:space="preserve">Upper Highway</t>
  </si>
  <si>
    <t xml:space="preserve">Large metro club in Upper Highway. Two Play bays.</t>
  </si>
  <si>
    <t xml:space="preserve">https://www.virginactive.co.za/gyms/hillcrest</t>
  </si>
  <si>
    <t xml:space="preserve">Kloof</t>
  </si>
  <si>
    <t xml:space="preserve">https://www.virginactive.co.za/gyms/kloof</t>
  </si>
  <si>
    <t xml:space="preserve">Pavilion</t>
  </si>
  <si>
    <t xml:space="preserve">Westville</t>
  </si>
  <si>
    <t xml:space="preserve">Large metro club in Westville. Two Play bays.</t>
  </si>
  <si>
    <t xml:space="preserve">https://www.virginactive.co.za/gyms/pavilion</t>
  </si>
  <si>
    <t xml:space="preserve">Pietermaritzburg</t>
  </si>
  <si>
    <t xml:space="preserve">Large metro club in Pietermaritzburg. Two Play bays.</t>
  </si>
  <si>
    <t xml:space="preserve">https://www.virginactive.co.za/gyms/pietermaritzburg</t>
  </si>
  <si>
    <t xml:space="preserve">Amanzimtoti</t>
  </si>
  <si>
    <t xml:space="preserve">South Coast</t>
  </si>
  <si>
    <t xml:space="preserve">Large metro club in South Coast. Two Play bays.</t>
  </si>
  <si>
    <t xml:space="preserve">https://www.virginactive.co.za/gyms/amanzimtoti</t>
  </si>
  <si>
    <t xml:space="preserve">Richards Bay</t>
  </si>
  <si>
    <t xml:space="preserve">Zululand</t>
  </si>
  <si>
    <t xml:space="preserve">Large metro club in Zululand. Two Play bays.</t>
  </si>
  <si>
    <t xml:space="preserve">https://www.virginactive.co.za/gyms/richards-bay</t>
  </si>
  <si>
    <t xml:space="preserve">Greenacres</t>
  </si>
  <si>
    <t xml:space="preserve">Gqeberha</t>
  </si>
  <si>
    <t xml:space="preserve">Large metro club in Gqeberha. Two Play bays.</t>
  </si>
  <si>
    <t xml:space="preserve">https://www.virginactive.co.za/gyms/greenacres</t>
  </si>
  <si>
    <t xml:space="preserve">Beacon Bay</t>
  </si>
  <si>
    <t xml:space="preserve">East London</t>
  </si>
  <si>
    <t xml:space="preserve">Large metro club in East London. Two Play bays.</t>
  </si>
  <si>
    <t xml:space="preserve">https://www.virginactive.co.za/gyms/beacon-bay</t>
  </si>
  <si>
    <t xml:space="preserve">Lorraine</t>
  </si>
  <si>
    <t xml:space="preserve">https://www.virginactive.co.za/gyms/lorraine</t>
  </si>
  <si>
    <t xml:space="preserve">Fichardt Park</t>
  </si>
  <si>
    <t xml:space="preserve">Bloemfontein</t>
  </si>
  <si>
    <t xml:space="preserve">Large metro club in Bloemfontein. Two Play bays.</t>
  </si>
  <si>
    <t xml:space="preserve">https://www.virginactive.co.za/gyms/fichardt-park</t>
  </si>
  <si>
    <t xml:space="preserve">Point</t>
  </si>
  <si>
    <t xml:space="preserve">Green Point</t>
  </si>
  <si>
    <t xml:space="preserve">H1 2029</t>
  </si>
  <si>
    <t xml:space="preserve">Existing TrackMan simulator. Left out of Phase 1; revisit in Phase 3 when the current unit is reviewed.</t>
  </si>
  <si>
    <t xml:space="preserve">Has a TrackMan simulator</t>
  </si>
  <si>
    <t xml:space="preserve">https://www.virginactive.co.za/gyms/point</t>
  </si>
  <si>
    <t xml:space="preserve">Milpark</t>
  </si>
  <si>
    <t xml:space="preserve">Metro club in Johannesburg. One Play bay.</t>
  </si>
  <si>
    <t xml:space="preserve">https://www.virginactive.co.za/gyms/milpark</t>
  </si>
  <si>
    <t xml:space="preserve">Braamfontein</t>
  </si>
  <si>
    <t xml:space="preserve">https://www.virginactive.co.za/gyms/braamfontein</t>
  </si>
  <si>
    <t xml:space="preserve">Metro club in Roodepoort. One Play bay.</t>
  </si>
  <si>
    <t xml:space="preserve">https://www.virginactive.co.za/gyms/roodepoort</t>
  </si>
  <si>
    <t xml:space="preserve">Horizon View</t>
  </si>
  <si>
    <t xml:space="preserve">https://www.virginactive.co.za/gyms/horizon-view</t>
  </si>
  <si>
    <t xml:space="preserve">Little Falls</t>
  </si>
  <si>
    <t xml:space="preserve">https://www.virginactive.co.za/gyms/little-falls</t>
  </si>
  <si>
    <t xml:space="preserve">Krugersdorp</t>
  </si>
  <si>
    <t xml:space="preserve">Metro club in West Rand. One Play bay.</t>
  </si>
  <si>
    <t xml:space="preserve">https://www.virginactive.co.za/gyms/krugersdorp</t>
  </si>
  <si>
    <t xml:space="preserve">Eastgate</t>
  </si>
  <si>
    <t xml:space="preserve">Metro club in East Rand. One Play bay.</t>
  </si>
  <si>
    <t xml:space="preserve">https://www.virginactive.co.za/gyms/eastgate</t>
  </si>
  <si>
    <t xml:space="preserve">Edenglen</t>
  </si>
  <si>
    <t xml:space="preserve">https://www.virginactive.co.za/gyms/edenglen</t>
  </si>
  <si>
    <t xml:space="preserve">Glen Acres</t>
  </si>
  <si>
    <t xml:space="preserve">Kempton Park</t>
  </si>
  <si>
    <t xml:space="preserve">Metro club in Kempton Park. One Play bay.</t>
  </si>
  <si>
    <t xml:space="preserve">https://www.virginactive.co.za/gyms/glen-acres</t>
  </si>
  <si>
    <t xml:space="preserve">Sunward Park</t>
  </si>
  <si>
    <t xml:space="preserve">Metro club in Boksburg. One Play bay.</t>
  </si>
  <si>
    <t xml:space="preserve">https://www.virginactive.co.za/gyms/sunward-park</t>
  </si>
  <si>
    <t xml:space="preserve">New Market</t>
  </si>
  <si>
    <t xml:space="preserve">Metro club in Alberton. One Play bay.</t>
  </si>
  <si>
    <t xml:space="preserve">https://www.virginactive.co.za/gyms/new-market</t>
  </si>
  <si>
    <t xml:space="preserve">Moreleta Park</t>
  </si>
  <si>
    <t xml:space="preserve">Metro club in Pretoria East. One Play bay.</t>
  </si>
  <si>
    <t xml:space="preserve">https://www.virginactive.co.za/gyms/moreleta-park</t>
  </si>
  <si>
    <t xml:space="preserve">Hatfield</t>
  </si>
  <si>
    <t xml:space="preserve">Metro club in Pretoria. One Play bay.</t>
  </si>
  <si>
    <t xml:space="preserve">https://www.virginactive.co.za/gyms/hatfield</t>
  </si>
  <si>
    <t xml:space="preserve">Loftus</t>
  </si>
  <si>
    <t xml:space="preserve">https://www.virginactive.co.za/gyms/loftus</t>
  </si>
  <si>
    <t xml:space="preserve">Watermeyer Park</t>
  </si>
  <si>
    <t xml:space="preserve">https://www.virginactive.co.za/gyms/watermeyer-park</t>
  </si>
  <si>
    <t xml:space="preserve">Wonderboom</t>
  </si>
  <si>
    <t xml:space="preserve">Pretoria North</t>
  </si>
  <si>
    <t xml:space="preserve">Metro club in Pretoria North. One Play bay.</t>
  </si>
  <si>
    <t xml:space="preserve">https://www.virginactive.co.za/gyms/wonderboom</t>
  </si>
  <si>
    <t xml:space="preserve">Montana</t>
  </si>
  <si>
    <t xml:space="preserve">https://www.virginactive.co.za/gyms/montana</t>
  </si>
  <si>
    <t xml:space="preserve">Rooihuiskraal</t>
  </si>
  <si>
    <t xml:space="preserve">Metro club in Centurion. One Play bay.</t>
  </si>
  <si>
    <t xml:space="preserve">https://www.virginactive.co.za/gyms/rooihuiskraal</t>
  </si>
  <si>
    <t xml:space="preserve">Vereeniging</t>
  </si>
  <si>
    <t xml:space="preserve">Vaal</t>
  </si>
  <si>
    <t xml:space="preserve">Metro club in Vaal. One Play bay.</t>
  </si>
  <si>
    <t xml:space="preserve">https://www.virginactive.co.za/gyms/vereeniging</t>
  </si>
  <si>
    <t xml:space="preserve">Lenasia</t>
  </si>
  <si>
    <t xml:space="preserve">Regional or community club in Johannesburg South. One Practice bay for coaching and lessons.</t>
  </si>
  <si>
    <t xml:space="preserve">https://www.virginactive.co.za/gyms/lenasia</t>
  </si>
  <si>
    <t xml:space="preserve">Vanderbijlpark</t>
  </si>
  <si>
    <t xml:space="preserve">Regional or community club in Vaal. One Practice bay for coaching and lessons.</t>
  </si>
  <si>
    <t xml:space="preserve">https://www.virginactive.co.za/gyms/vanderbijlpark</t>
  </si>
  <si>
    <t xml:space="preserve">Sammy Marks Square</t>
  </si>
  <si>
    <t xml:space="preserve">Pretoria Central</t>
  </si>
  <si>
    <t xml:space="preserve">Regional or community club in Pretoria Central. One Practice bay for coaching and lessons.</t>
  </si>
  <si>
    <t xml:space="preserve">https://www.virginactive.co.za/gyms/sammy-marks-square</t>
  </si>
  <si>
    <t xml:space="preserve">Tramshed</t>
  </si>
  <si>
    <t xml:space="preserve">https://www.virginactive.co.za/gyms/tramshed</t>
  </si>
  <si>
    <t xml:space="preserve">Athlone</t>
  </si>
  <si>
    <t xml:space="preserve">Cape Flats</t>
  </si>
  <si>
    <t xml:space="preserve">Regional or community club in Cape Flats. One Practice bay for coaching and lessons.</t>
  </si>
  <si>
    <t xml:space="preserve">https://www.virginactive.co.za/gyms/athlone</t>
  </si>
  <si>
    <t xml:space="preserve">Mitchells Plain</t>
  </si>
  <si>
    <t xml:space="preserve">https://www.virginactive.co.za/gyms/mitchells-plain</t>
  </si>
  <si>
    <t xml:space="preserve">N1 City</t>
  </si>
  <si>
    <t xml:space="preserve">Goodwood</t>
  </si>
  <si>
    <t xml:space="preserve">Regional or community club in Goodwood. One Practice bay for coaching and lessons.</t>
  </si>
  <si>
    <t xml:space="preserve">https://www.virginactive.co.za/gyms/n1-city</t>
  </si>
  <si>
    <t xml:space="preserve">Table View</t>
  </si>
  <si>
    <t xml:space="preserve">Regional or community club in West Coast. One Practice bay for coaching and lessons.</t>
  </si>
  <si>
    <t xml:space="preserve">https://www.virginactive.co.za/gyms/table-view</t>
  </si>
  <si>
    <t xml:space="preserve">Sunningdale</t>
  </si>
  <si>
    <t xml:space="preserve">https://www.virginactive.co.za/gyms/sunningdale</t>
  </si>
  <si>
    <t xml:space="preserve">Okavango</t>
  </si>
  <si>
    <t xml:space="preserve">Regional or community club in Brackenfell. One Practice bay for coaching and lessons.</t>
  </si>
  <si>
    <t xml:space="preserve">https://www.virginactive.co.za/gyms/okavango</t>
  </si>
  <si>
    <t xml:space="preserve">CapeGate</t>
  </si>
  <si>
    <t xml:space="preserve">Kraaifontein</t>
  </si>
  <si>
    <t xml:space="preserve">H2 2029</t>
  </si>
  <si>
    <t xml:space="preserve">Regional or community club in Kraaifontein. One Practice bay for coaching and lessons.</t>
  </si>
  <si>
    <t xml:space="preserve">https://www.virginactive.co.za/gyms/capegate</t>
  </si>
  <si>
    <t xml:space="preserve">The Atrium</t>
  </si>
  <si>
    <t xml:space="preserve">Berea</t>
  </si>
  <si>
    <t xml:space="preserve">Regional or community club in Berea. One Practice bay for coaching and lessons.</t>
  </si>
  <si>
    <t xml:space="preserve">https://www.virginactive.co.za/gyms/the-atrium</t>
  </si>
  <si>
    <t xml:space="preserve">Bluff</t>
  </si>
  <si>
    <t xml:space="preserve">Durban South</t>
  </si>
  <si>
    <t xml:space="preserve">Regional or community club in Durban South. One Practice bay for coaching and lessons.</t>
  </si>
  <si>
    <t xml:space="preserve">https://www.virginactive.co.za/gyms/bluff</t>
  </si>
  <si>
    <t xml:space="preserve">Confirm whether this is a separate club from Pavilion before counting it.</t>
  </si>
  <si>
    <t xml:space="preserve">Check whether this is the same club as Pavilion</t>
  </si>
  <si>
    <t xml:space="preserve">https://www.virginactive.co.za/gyms/westville</t>
  </si>
  <si>
    <t xml:space="preserve">Cascades</t>
  </si>
  <si>
    <t xml:space="preserve">Regional or community club in Pietermaritzburg. One Practice bay for coaching and lessons.</t>
  </si>
  <si>
    <t xml:space="preserve">https://www.virginactive.co.za/gyms/cascades</t>
  </si>
  <si>
    <t xml:space="preserve">Humewood</t>
  </si>
  <si>
    <t xml:space="preserve">Regional or community club in Gqeberha. One Practice bay for coaching and lessons.</t>
  </si>
  <si>
    <t xml:space="preserve">https://www.virginactive.co.za/gyms/humewood</t>
  </si>
  <si>
    <t xml:space="preserve">Regional or community club in East London. One Practice bay for coaching and lessons.</t>
  </si>
  <si>
    <t xml:space="preserve">https://www.virginactive.co.za/gyms/east-london</t>
  </si>
  <si>
    <t xml:space="preserve">Welkom</t>
  </si>
  <si>
    <t xml:space="preserve">Regional or community club in Welkom. One Practice bay for coaching and lessons.</t>
  </si>
  <si>
    <t xml:space="preserve">https://www.virginactive.co.za/gyms/welkom</t>
  </si>
  <si>
    <t xml:space="preserve">Middelburg</t>
  </si>
  <si>
    <t xml:space="preserve">Regional or community club in Middelburg. One Practice bay for coaching and lessons.</t>
  </si>
  <si>
    <t xml:space="preserve">https://www.virginactive.co.za/gyms/middelburg</t>
  </si>
  <si>
    <t xml:space="preserve">Mbombela</t>
  </si>
  <si>
    <t xml:space="preserve">Nelspruit</t>
  </si>
  <si>
    <t xml:space="preserve">Riverside club closed July 2025; Mbombela is the remaining Nelspruit club.</t>
  </si>
  <si>
    <t xml:space="preserve">Riverside club closed July 2025</t>
  </si>
  <si>
    <t xml:space="preserve">https://www.virginactive.co.za/gyms/mbombela</t>
  </si>
  <si>
    <t xml:space="preserve">Polokwane</t>
  </si>
  <si>
    <t xml:space="preserve">Regional or community club in Polokwane. One Practice bay for coaching and lessons.</t>
  </si>
  <si>
    <t xml:space="preserve">https://www.virginactive.co.za/gyms/polokwane</t>
  </si>
  <si>
    <t xml:space="preserve">Thornhill</t>
  </si>
  <si>
    <t xml:space="preserve">https://www.virginactive.co.za/gyms/thornhill</t>
  </si>
  <si>
    <t xml:space="preserve">Kimberley</t>
  </si>
  <si>
    <t xml:space="preserve">Regional or community club in Kimberley. One Practice bay for coaching and lessons.</t>
  </si>
  <si>
    <t xml:space="preserve">https://www.virginactive.co.za/gyms/kimberley</t>
  </si>
  <si>
    <t xml:space="preserve">Rustenburg</t>
  </si>
  <si>
    <t xml:space="preserve">Regional or community club in Rustenburg. One Practice bay for coaching and lessons.</t>
  </si>
  <si>
    <t xml:space="preserve">https://www.virginactive.co.za/gyms/rustenburg</t>
  </si>
  <si>
    <t xml:space="preserve">Potchefstroom</t>
  </si>
  <si>
    <t xml:space="preserve">Regional or community club in Potchefstroom. One Practice bay for coaching and lessons.</t>
  </si>
  <si>
    <t xml:space="preserve">https://www.virginactive.co.za/gyms/potchefstroom</t>
  </si>
  <si>
    <t xml:space="preserve">Klerksdorp</t>
  </si>
  <si>
    <t xml:space="preserve">Regional or community club in Klerksdorp. One Practice bay for coaching and lessons.</t>
  </si>
  <si>
    <t xml:space="preserve">https://www.virginactive.co.za/gyms/klerksdorp</t>
  </si>
  <si>
    <t xml:space="preserve">Airport Junction</t>
  </si>
  <si>
    <t xml:space="preserve">Gaborone</t>
  </si>
  <si>
    <t xml:space="preserve">Regional or community club in Gaborone. One Practice bay for coaching and lessons.</t>
  </si>
  <si>
    <t xml:space="preserve">https://www.virginactive.co.za/gyms/airport-junction</t>
  </si>
  <si>
    <t xml:space="preserve">Maerua Mall</t>
  </si>
  <si>
    <t xml:space="preserve">Windhoek</t>
  </si>
  <si>
    <t xml:space="preserve">Regional or community club in Windhoek. One Practice bay for coaching and lessons.</t>
  </si>
  <si>
    <t xml:space="preserve">https://www.virginactive.co.za/gyms/maerua-mall</t>
  </si>
  <si>
    <t xml:space="preserve">Kleine Kuppe</t>
  </si>
  <si>
    <t xml:space="preserve">https://www.virginactive.co.za/gyms/kleine-kuppe</t>
  </si>
  <si>
    <t xml:space="preserve">Total, named clubs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</si>
</sst>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"/>
    <numFmt numFmtId="167" formatCode="[$$-409]#,##0.00;[RED]\-[$$-409]#,##0.00"/>
    <numFmt numFmtId="168" formatCode="General"/>
    <numFmt numFmtId="169" formatCode="0.00"/>
    <numFmt numFmtId="170" formatCode="0.0%"/>
    <numFmt numFmtId="171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3D2E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B3D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52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4" min="14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42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</row>
    <row r="7" customFormat="false" ht="30" hidden="false" customHeight="true" outlineLevel="0" collapsed="false">
      <c r="A7" s="5" t="n">
        <v>1</v>
      </c>
      <c r="B7" s="6" t="s">
        <v>17</v>
      </c>
      <c r="C7" s="7" t="n">
        <v>2027</v>
      </c>
      <c r="D7" s="8" t="s">
        <v>18</v>
      </c>
      <c r="E7" s="9" t="n">
        <v>2</v>
      </c>
      <c r="F7" s="10" t="n">
        <f aca="false">COUNTIF(Clubs!$F$5:$F$123,A7)</f>
        <v>20</v>
      </c>
      <c r="G7" s="10" t="n">
        <f aca="false">H7-F7</f>
        <v>0</v>
      </c>
      <c r="H7" s="9" t="n">
        <v>20</v>
      </c>
      <c r="I7" s="10" t="n">
        <f aca="false">SUMIF(Clubs!$F$5:$F$123,A7,Clubs!$J$5:$J$123)+G7*E7</f>
        <v>40</v>
      </c>
      <c r="J7" s="11" t="n">
        <f aca="false">SUMIF(Clubs!$F$5:$F$123,A7,Clubs!$M$5:$M$123)+G7*E7*Assumptions!$D$25</f>
        <v>57720000</v>
      </c>
      <c r="K7" s="12" t="n">
        <f aca="false">SUMIF(Clubs!$F$5:$F$123,A7,Clubs!$P$5:$P$123)+G7*E7*Assumptions!$M$25</f>
        <v>55990120.2941176</v>
      </c>
      <c r="L7" s="12" t="n">
        <f aca="false">SUMIF(Clubs!$F$5:$F$123,A7,Clubs!$Q$5:$Q$123)+G7*E7*Assumptions!$N$25</f>
        <v>10998024.0588235</v>
      </c>
      <c r="M7" s="11" t="n">
        <f aca="false">J7*Assumptions!$B$18</f>
        <v>51948000</v>
      </c>
      <c r="N7" s="11" t="n">
        <f aca="false">J7-M7</f>
        <v>5772000</v>
      </c>
    </row>
    <row r="8" customFormat="false" ht="30" hidden="false" customHeight="true" outlineLevel="0" collapsed="false">
      <c r="A8" s="5" t="n">
        <v>2</v>
      </c>
      <c r="B8" s="6" t="s">
        <v>19</v>
      </c>
      <c r="C8" s="7" t="n">
        <v>2028</v>
      </c>
      <c r="D8" s="8" t="s">
        <v>20</v>
      </c>
      <c r="E8" s="9" t="n">
        <v>2</v>
      </c>
      <c r="F8" s="10" t="n">
        <f aca="false">COUNTIF(Clubs!$F$5:$F$123,A8)</f>
        <v>50</v>
      </c>
      <c r="G8" s="10" t="n">
        <f aca="false">H8-F8</f>
        <v>0</v>
      </c>
      <c r="H8" s="9" t="n">
        <v>50</v>
      </c>
      <c r="I8" s="10" t="n">
        <f aca="false">SUMIF(Clubs!$F$5:$F$123,A8,Clubs!$J$5:$J$123)+G8*E8</f>
        <v>100</v>
      </c>
      <c r="J8" s="11" t="n">
        <f aca="false">SUMIF(Clubs!$F$5:$F$123,A8,Clubs!$M$5:$M$123)+G8*E8*Assumptions!$D$25</f>
        <v>84175000</v>
      </c>
      <c r="K8" s="12" t="n">
        <f aca="false">SUMIF(Clubs!$F$5:$F$123,A8,Clubs!$P$5:$P$123)+G8*E8*Assumptions!$M$25</f>
        <v>90909550.7352941</v>
      </c>
      <c r="L8" s="12" t="n">
        <f aca="false">SUMIF(Clubs!$F$5:$F$123,A8,Clubs!$Q$5:$Q$123)+G8*E8*Assumptions!$N$25</f>
        <v>17681910.1470588</v>
      </c>
      <c r="M8" s="11" t="n">
        <f aca="false">J8*Assumptions!$B$18</f>
        <v>75757500</v>
      </c>
      <c r="N8" s="11" t="n">
        <f aca="false">J8-M8</f>
        <v>8417500</v>
      </c>
    </row>
    <row r="9" customFormat="false" ht="30" hidden="false" customHeight="true" outlineLevel="0" collapsed="false">
      <c r="A9" s="5" t="n">
        <v>3</v>
      </c>
      <c r="B9" s="6" t="s">
        <v>21</v>
      </c>
      <c r="C9" s="7" t="n">
        <v>2029</v>
      </c>
      <c r="D9" s="8" t="s">
        <v>22</v>
      </c>
      <c r="E9" s="9" t="n">
        <v>1</v>
      </c>
      <c r="F9" s="10" t="n">
        <f aca="false">COUNTIF(Clubs!$F$5:$F$123,A9)</f>
        <v>49</v>
      </c>
      <c r="G9" s="10" t="n">
        <f aca="false">H9-F9</f>
        <v>11</v>
      </c>
      <c r="H9" s="9" t="n">
        <v>60</v>
      </c>
      <c r="I9" s="10" t="n">
        <f aca="false">SUMIF(Clubs!$F$5:$F$123,A9,Clubs!$J$5:$J$123)+G9*E9</f>
        <v>60</v>
      </c>
      <c r="J9" s="11" t="n">
        <f aca="false">SUMIF(Clubs!$F$5:$F$123,A9,Clubs!$M$5:$M$123)+G9*E9*Assumptions!$D$25</f>
        <v>37999000</v>
      </c>
      <c r="K9" s="12" t="n">
        <f aca="false">SUMIF(Clubs!$F$5:$F$123,A9,Clubs!$P$5:$P$123)+G9*E9*Assumptions!$M$25</f>
        <v>44283030.4411765</v>
      </c>
      <c r="L9" s="12" t="n">
        <f aca="false">SUMIF(Clubs!$F$5:$F$123,A9,Clubs!$Q$5:$Q$123)+G9*E9*Assumptions!$N$25</f>
        <v>8556606.08823529</v>
      </c>
      <c r="M9" s="11" t="n">
        <f aca="false">J9*Assumptions!$B$18</f>
        <v>34199100</v>
      </c>
      <c r="N9" s="11" t="n">
        <f aca="false">J9-M9</f>
        <v>3799900</v>
      </c>
    </row>
    <row r="10" customFormat="false" ht="15" hidden="false" customHeight="false" outlineLevel="0" collapsed="false">
      <c r="A10" s="13" t="s">
        <v>23</v>
      </c>
      <c r="F10" s="5" t="n">
        <f aca="false">SUM(F7:F9)</f>
        <v>119</v>
      </c>
      <c r="G10" s="5" t="n">
        <f aca="false">SUM(G7:G9)</f>
        <v>11</v>
      </c>
      <c r="H10" s="5" t="n">
        <f aca="false">SUM(H7:H9)</f>
        <v>130</v>
      </c>
      <c r="I10" s="5" t="n">
        <f aca="false">SUM(I7:I9)</f>
        <v>200</v>
      </c>
      <c r="J10" s="14" t="n">
        <f aca="false">SUM(J7:J9)</f>
        <v>179894000</v>
      </c>
      <c r="K10" s="15" t="n">
        <f aca="false">SUM(K7:K9)</f>
        <v>191182701.470588</v>
      </c>
      <c r="L10" s="15" t="n">
        <f aca="false">SUM(L7:L9)</f>
        <v>37236540.2941176</v>
      </c>
      <c r="M10" s="14" t="n">
        <f aca="false">SUM(M7:M9)</f>
        <v>161904600</v>
      </c>
      <c r="N10" s="14" t="n">
        <f aca="false">SUM(N7:N9)</f>
        <v>17989400</v>
      </c>
    </row>
    <row r="11" customFormat="false" ht="15" hidden="false" customHeight="false" outlineLevel="0" collapsed="false">
      <c r="A11" s="16" t="s">
        <v>24</v>
      </c>
    </row>
    <row r="12" customFormat="false" ht="15" hidden="false" customHeight="false" outlineLevel="0" collapsed="false">
      <c r="A12" s="16" t="s">
        <v>25</v>
      </c>
    </row>
    <row r="13" customFormat="false" ht="15" hidden="false" customHeight="false" outlineLevel="0" collapsed="false">
      <c r="B13" s="13" t="s">
        <v>26</v>
      </c>
      <c r="C13" s="17" t="n">
        <v>179894000</v>
      </c>
      <c r="D13" s="13" t="s">
        <v>27</v>
      </c>
      <c r="E13" s="11" t="n">
        <f aca="false">J10-C13</f>
        <v>0</v>
      </c>
    </row>
    <row r="15" customFormat="false" ht="15" hidden="false" customHeight="false" outlineLevel="0" collapsed="false">
      <c r="A15" s="3" t="s">
        <v>28</v>
      </c>
    </row>
    <row r="16" customFormat="false" ht="23.85" hidden="false" customHeight="false" outlineLevel="0" collapsed="false">
      <c r="A16" s="4" t="s">
        <v>29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11</v>
      </c>
      <c r="G16" s="4" t="s">
        <v>12</v>
      </c>
      <c r="H16" s="4" t="s">
        <v>14</v>
      </c>
    </row>
    <row r="17" customFormat="false" ht="15" hidden="false" customHeight="false" outlineLevel="0" collapsed="false">
      <c r="A17" s="13" t="s">
        <v>34</v>
      </c>
      <c r="B17" s="10" t="n">
        <f aca="false">COUNTIFS(Clubs!$C$5:$C$123,$A17,Clubs!$F$5:$F$123,1)</f>
        <v>10</v>
      </c>
      <c r="C17" s="10" t="n">
        <f aca="false">COUNTIFS(Clubs!$C$5:$C$123,$A17,Clubs!$F$5:$F$123,2)</f>
        <v>26</v>
      </c>
      <c r="D17" s="10" t="n">
        <f aca="false">COUNTIFS(Clubs!$C$5:$C$123,$A17,Clubs!$F$5:$F$123,3)</f>
        <v>23</v>
      </c>
      <c r="E17" s="10" t="n">
        <f aca="false">SUM(B17:D17)</f>
        <v>59</v>
      </c>
      <c r="F17" s="10" t="n">
        <f aca="false">SUMIF(Clubs!$C$5:$C$123,$A17,Clubs!$J$5:$J$123)</f>
        <v>95</v>
      </c>
      <c r="G17" s="12" t="n">
        <f aca="false">SUMIF(Clubs!$C$5:$C$123,$A17,Clubs!$M$5:$M$123)</f>
        <v>90740650</v>
      </c>
      <c r="H17" s="12" t="n">
        <f aca="false">SUMIF(Clubs!$C$5:$C$123,$A17,Clubs!$Q$5:$Q$123)</f>
        <v>18555190.6397059</v>
      </c>
    </row>
    <row r="18" customFormat="false" ht="15" hidden="false" customHeight="false" outlineLevel="0" collapsed="false">
      <c r="A18" s="13" t="s">
        <v>35</v>
      </c>
      <c r="B18" s="10" t="n">
        <f aca="false">COUNTIFS(Clubs!$C$5:$C$123,$A18,Clubs!$F$5:$F$123,1)</f>
        <v>6</v>
      </c>
      <c r="C18" s="10" t="n">
        <f aca="false">COUNTIFS(Clubs!$C$5:$C$123,$A18,Clubs!$F$5:$F$123,2)</f>
        <v>12</v>
      </c>
      <c r="D18" s="10" t="n">
        <f aca="false">COUNTIFS(Clubs!$C$5:$C$123,$A18,Clubs!$F$5:$F$123,3)</f>
        <v>8</v>
      </c>
      <c r="E18" s="10" t="n">
        <f aca="false">SUM(B18:D18)</f>
        <v>26</v>
      </c>
      <c r="F18" s="10" t="n">
        <f aca="false">SUMIF(Clubs!$C$5:$C$123,$A18,Clubs!$J$5:$J$123)</f>
        <v>44</v>
      </c>
      <c r="G18" s="12" t="n">
        <f aca="false">SUMIF(Clubs!$C$5:$C$123,$A18,Clubs!$M$5:$M$123)</f>
        <v>42063450</v>
      </c>
      <c r="H18" s="12" t="n">
        <f aca="false">SUMIF(Clubs!$C$5:$C$123,$A18,Clubs!$Q$5:$Q$123)</f>
        <v>8598423.96470588</v>
      </c>
    </row>
    <row r="19" customFormat="false" ht="15" hidden="false" customHeight="false" outlineLevel="0" collapsed="false">
      <c r="A19" s="13" t="s">
        <v>36</v>
      </c>
      <c r="B19" s="10" t="n">
        <f aca="false">COUNTIFS(Clubs!$C$5:$C$123,$A19,Clubs!$F$5:$F$123,1)</f>
        <v>4</v>
      </c>
      <c r="C19" s="10" t="n">
        <f aca="false">COUNTIFS(Clubs!$C$5:$C$123,$A19,Clubs!$F$5:$F$123,2)</f>
        <v>8</v>
      </c>
      <c r="D19" s="10" t="n">
        <f aca="false">COUNTIFS(Clubs!$C$5:$C$123,$A19,Clubs!$F$5:$F$123,3)</f>
        <v>4</v>
      </c>
      <c r="E19" s="10" t="n">
        <f aca="false">SUM(B19:D19)</f>
        <v>16</v>
      </c>
      <c r="F19" s="10" t="n">
        <f aca="false">SUMIF(Clubs!$C$5:$C$123,$A19,Clubs!$J$5:$J$123)</f>
        <v>28</v>
      </c>
      <c r="G19" s="12" t="n">
        <f aca="false">SUMIF(Clubs!$C$5:$C$123,$A19,Clubs!$M$5:$M$123)</f>
        <v>27128400</v>
      </c>
      <c r="H19" s="12" t="n">
        <f aca="false">SUMIF(Clubs!$C$5:$C$123,$A19,Clubs!$Q$5:$Q$123)</f>
        <v>5530732.84117647</v>
      </c>
    </row>
    <row r="20" customFormat="false" ht="15" hidden="false" customHeight="false" outlineLevel="0" collapsed="false">
      <c r="A20" s="13" t="s">
        <v>37</v>
      </c>
      <c r="B20" s="10" t="n">
        <f aca="false">COUNTIFS(Clubs!$C$5:$C$123,$A20,Clubs!$F$5:$F$123,1)</f>
        <v>0</v>
      </c>
      <c r="C20" s="10" t="n">
        <f aca="false">COUNTIFS(Clubs!$C$5:$C$123,$A20,Clubs!$F$5:$F$123,2)</f>
        <v>3</v>
      </c>
      <c r="D20" s="10" t="n">
        <f aca="false">COUNTIFS(Clubs!$C$5:$C$123,$A20,Clubs!$F$5:$F$123,3)</f>
        <v>2</v>
      </c>
      <c r="E20" s="10" t="n">
        <f aca="false">SUM(B20:D20)</f>
        <v>5</v>
      </c>
      <c r="F20" s="10" t="n">
        <f aca="false">SUMIF(Clubs!$C$5:$C$123,$A20,Clubs!$J$5:$J$123)</f>
        <v>8</v>
      </c>
      <c r="G20" s="12" t="n">
        <f aca="false">SUMIF(Clubs!$C$5:$C$123,$A20,Clubs!$M$5:$M$123)</f>
        <v>6108700</v>
      </c>
      <c r="H20" s="12" t="n">
        <f aca="false">SUMIF(Clubs!$C$5:$C$123,$A20,Clubs!$Q$5:$Q$123)</f>
        <v>1311925.81176471</v>
      </c>
    </row>
    <row r="21" customFormat="false" ht="15" hidden="false" customHeight="false" outlineLevel="0" collapsed="false">
      <c r="A21" s="13" t="s">
        <v>38</v>
      </c>
      <c r="B21" s="10" t="n">
        <f aca="false">COUNTIFS(Clubs!$C$5:$C$123,$A21,Clubs!$F$5:$F$123,1)</f>
        <v>0</v>
      </c>
      <c r="C21" s="10" t="n">
        <f aca="false">COUNTIFS(Clubs!$C$5:$C$123,$A21,Clubs!$F$5:$F$123,2)</f>
        <v>1</v>
      </c>
      <c r="D21" s="10" t="n">
        <f aca="false">COUNTIFS(Clubs!$C$5:$C$123,$A21,Clubs!$F$5:$F$123,3)</f>
        <v>1</v>
      </c>
      <c r="E21" s="10" t="n">
        <f aca="false">SUM(B21:D21)</f>
        <v>2</v>
      </c>
      <c r="F21" s="10" t="n">
        <f aca="false">SUMIF(Clubs!$C$5:$C$123,$A21,Clubs!$J$5:$J$123)</f>
        <v>3</v>
      </c>
      <c r="G21" s="12" t="n">
        <f aca="false">SUMIF(Clubs!$C$5:$C$123,$A21,Clubs!$M$5:$M$123)</f>
        <v>2212600</v>
      </c>
      <c r="H21" s="12" t="n">
        <f aca="false">SUMIF(Clubs!$C$5:$C$123,$A21,Clubs!$Q$5:$Q$123)</f>
        <v>479143.804411765</v>
      </c>
    </row>
    <row r="22" customFormat="false" ht="15" hidden="false" customHeight="false" outlineLevel="0" collapsed="false">
      <c r="A22" s="13" t="s">
        <v>39</v>
      </c>
      <c r="B22" s="10" t="n">
        <f aca="false">COUNTIFS(Clubs!$C$5:$C$123,$A22,Clubs!$F$5:$F$123,1)</f>
        <v>0</v>
      </c>
      <c r="C22" s="10" t="n">
        <f aca="false">COUNTIFS(Clubs!$C$5:$C$123,$A22,Clubs!$F$5:$F$123,2)</f>
        <v>0</v>
      </c>
      <c r="D22" s="10" t="n">
        <f aca="false">COUNTIFS(Clubs!$C$5:$C$123,$A22,Clubs!$F$5:$F$123,3)</f>
        <v>2</v>
      </c>
      <c r="E22" s="10" t="n">
        <f aca="false">SUM(B22:D22)</f>
        <v>2</v>
      </c>
      <c r="F22" s="10" t="n">
        <f aca="false">SUMIF(Clubs!$C$5:$C$123,$A22,Clubs!$J$5:$J$123)</f>
        <v>2</v>
      </c>
      <c r="G22" s="12" t="n">
        <f aca="false">SUMIF(Clubs!$C$5:$C$123,$A22,Clubs!$M$5:$M$123)</f>
        <v>1058200</v>
      </c>
      <c r="H22" s="12" t="n">
        <f aca="false">SUMIF(Clubs!$C$5:$C$123,$A22,Clubs!$Q$5:$Q$123)</f>
        <v>251011.202941176</v>
      </c>
    </row>
    <row r="23" customFormat="false" ht="15" hidden="false" customHeight="false" outlineLevel="0" collapsed="false">
      <c r="A23" s="13" t="s">
        <v>40</v>
      </c>
      <c r="B23" s="10" t="n">
        <f aca="false">COUNTIFS(Clubs!$C$5:$C$123,$A23,Clubs!$F$5:$F$123,1)</f>
        <v>0</v>
      </c>
      <c r="C23" s="10" t="n">
        <f aca="false">COUNTIFS(Clubs!$C$5:$C$123,$A23,Clubs!$F$5:$F$123,2)</f>
        <v>0</v>
      </c>
      <c r="D23" s="10" t="n">
        <f aca="false">COUNTIFS(Clubs!$C$5:$C$123,$A23,Clubs!$F$5:$F$123,3)</f>
        <v>2</v>
      </c>
      <c r="E23" s="10" t="n">
        <f aca="false">SUM(B23:D23)</f>
        <v>2</v>
      </c>
      <c r="F23" s="10" t="n">
        <f aca="false">SUMIF(Clubs!$C$5:$C$123,$A23,Clubs!$J$5:$J$123)</f>
        <v>2</v>
      </c>
      <c r="G23" s="12" t="n">
        <f aca="false">SUMIF(Clubs!$C$5:$C$123,$A23,Clubs!$M$5:$M$123)</f>
        <v>1058200</v>
      </c>
      <c r="H23" s="12" t="n">
        <f aca="false">SUMIF(Clubs!$C$5:$C$123,$A23,Clubs!$Q$5:$Q$123)</f>
        <v>251011.202941176</v>
      </c>
    </row>
    <row r="24" customFormat="false" ht="15" hidden="false" customHeight="false" outlineLevel="0" collapsed="false">
      <c r="A24" s="13" t="s">
        <v>41</v>
      </c>
      <c r="B24" s="10" t="n">
        <f aca="false">COUNTIFS(Clubs!$C$5:$C$123,$A24,Clubs!$F$5:$F$123,1)</f>
        <v>0</v>
      </c>
      <c r="C24" s="10" t="n">
        <f aca="false">COUNTIFS(Clubs!$C$5:$C$123,$A24,Clubs!$F$5:$F$123,2)</f>
        <v>0</v>
      </c>
      <c r="D24" s="10" t="n">
        <f aca="false">COUNTIFS(Clubs!$C$5:$C$123,$A24,Clubs!$F$5:$F$123,3)</f>
        <v>3</v>
      </c>
      <c r="E24" s="10" t="n">
        <f aca="false">SUM(B24:D24)</f>
        <v>3</v>
      </c>
      <c r="F24" s="10" t="n">
        <f aca="false">SUMIF(Clubs!$C$5:$C$123,$A24,Clubs!$J$5:$J$123)</f>
        <v>3</v>
      </c>
      <c r="G24" s="12" t="n">
        <f aca="false">SUMIF(Clubs!$C$5:$C$123,$A24,Clubs!$M$5:$M$123)</f>
        <v>1587300</v>
      </c>
      <c r="H24" s="12" t="n">
        <f aca="false">SUMIF(Clubs!$C$5:$C$123,$A24,Clubs!$Q$5:$Q$123)</f>
        <v>376516.804411765</v>
      </c>
    </row>
    <row r="25" customFormat="false" ht="15" hidden="false" customHeight="false" outlineLevel="0" collapsed="false">
      <c r="A25" s="13" t="s">
        <v>42</v>
      </c>
      <c r="B25" s="10" t="n">
        <f aca="false">COUNTIFS(Clubs!$C$5:$C$123,$A25,Clubs!$F$5:$F$123,1)</f>
        <v>0</v>
      </c>
      <c r="C25" s="10" t="n">
        <f aca="false">COUNTIFS(Clubs!$C$5:$C$123,$A25,Clubs!$F$5:$F$123,2)</f>
        <v>0</v>
      </c>
      <c r="D25" s="10" t="n">
        <f aca="false">COUNTIFS(Clubs!$C$5:$C$123,$A25,Clubs!$F$5:$F$123,3)</f>
        <v>1</v>
      </c>
      <c r="E25" s="10" t="n">
        <f aca="false">SUM(B25:D25)</f>
        <v>1</v>
      </c>
      <c r="F25" s="10" t="n">
        <f aca="false">SUMIF(Clubs!$C$5:$C$123,$A25,Clubs!$J$5:$J$123)</f>
        <v>1</v>
      </c>
      <c r="G25" s="12" t="n">
        <f aca="false">SUMIF(Clubs!$C$5:$C$123,$A25,Clubs!$M$5:$M$123)</f>
        <v>529100</v>
      </c>
      <c r="H25" s="12" t="n">
        <f aca="false">SUMIF(Clubs!$C$5:$C$123,$A25,Clubs!$Q$5:$Q$123)</f>
        <v>125505.601470588</v>
      </c>
    </row>
    <row r="26" customFormat="false" ht="15" hidden="false" customHeight="false" outlineLevel="0" collapsed="false">
      <c r="A26" s="13" t="s">
        <v>43</v>
      </c>
      <c r="B26" s="10" t="n">
        <f aca="false">COUNTIFS(Clubs!$C$5:$C$123,$A26,Clubs!$F$5:$F$123,1)</f>
        <v>0</v>
      </c>
      <c r="C26" s="10" t="n">
        <f aca="false">COUNTIFS(Clubs!$C$5:$C$123,$A26,Clubs!$F$5:$F$123,2)</f>
        <v>0</v>
      </c>
      <c r="D26" s="10" t="n">
        <f aca="false">COUNTIFS(Clubs!$C$5:$C$123,$A26,Clubs!$F$5:$F$123,3)</f>
        <v>1</v>
      </c>
      <c r="E26" s="10" t="n">
        <f aca="false">SUM(B26:D26)</f>
        <v>1</v>
      </c>
      <c r="F26" s="10" t="n">
        <f aca="false">SUMIF(Clubs!$C$5:$C$123,$A26,Clubs!$J$5:$J$123)</f>
        <v>1</v>
      </c>
      <c r="G26" s="12" t="n">
        <f aca="false">SUMIF(Clubs!$C$5:$C$123,$A26,Clubs!$M$5:$M$123)</f>
        <v>529100</v>
      </c>
      <c r="H26" s="12" t="n">
        <f aca="false">SUMIF(Clubs!$C$5:$C$123,$A26,Clubs!$Q$5:$Q$123)</f>
        <v>125505.601470588</v>
      </c>
    </row>
    <row r="27" customFormat="false" ht="15" hidden="false" customHeight="false" outlineLevel="0" collapsed="false">
      <c r="A27" s="13" t="s">
        <v>44</v>
      </c>
      <c r="B27" s="10" t="n">
        <f aca="false">COUNTIFS(Clubs!$C$5:$C$123,$A27,Clubs!$F$5:$F$123,1)</f>
        <v>0</v>
      </c>
      <c r="C27" s="10" t="n">
        <f aca="false">COUNTIFS(Clubs!$C$5:$C$123,$A27,Clubs!$F$5:$F$123,2)</f>
        <v>0</v>
      </c>
      <c r="D27" s="10" t="n">
        <f aca="false">COUNTIFS(Clubs!$C$5:$C$123,$A27,Clubs!$F$5:$F$123,3)</f>
        <v>2</v>
      </c>
      <c r="E27" s="10" t="n">
        <f aca="false">SUM(B27:D27)</f>
        <v>2</v>
      </c>
      <c r="F27" s="10" t="n">
        <f aca="false">SUMIF(Clubs!$C$5:$C$123,$A27,Clubs!$J$5:$J$123)</f>
        <v>2</v>
      </c>
      <c r="G27" s="12" t="n">
        <f aca="false">SUMIF(Clubs!$C$5:$C$123,$A27,Clubs!$M$5:$M$123)</f>
        <v>1058200</v>
      </c>
      <c r="H27" s="12" t="n">
        <f aca="false">SUMIF(Clubs!$C$5:$C$123,$A27,Clubs!$Q$5:$Q$123)</f>
        <v>251011.202941176</v>
      </c>
    </row>
    <row r="28" customFormat="false" ht="15" hidden="false" customHeight="false" outlineLevel="0" collapsed="false">
      <c r="A28" s="13" t="s">
        <v>23</v>
      </c>
      <c r="B28" s="5" t="n">
        <f aca="false">SUM(B17:B27)</f>
        <v>20</v>
      </c>
      <c r="C28" s="5" t="n">
        <f aca="false">SUM(C17:C27)</f>
        <v>50</v>
      </c>
      <c r="D28" s="5" t="n">
        <f aca="false">SUM(D17:D27)</f>
        <v>49</v>
      </c>
      <c r="E28" s="5" t="n">
        <f aca="false">SUM(E17:E27)</f>
        <v>119</v>
      </c>
      <c r="F28" s="5" t="n">
        <f aca="false">SUM(F17:F27)</f>
        <v>189</v>
      </c>
      <c r="G28" s="15" t="n">
        <f aca="false">SUM(G17:G27)</f>
        <v>174073900</v>
      </c>
      <c r="H28" s="15" t="n">
        <f aca="false">SUM(H17:H27)</f>
        <v>35855978.6779412</v>
      </c>
    </row>
    <row r="30" customFormat="false" ht="15" hidden="false" customHeight="false" outlineLevel="0" collapsed="false">
      <c r="A30" s="3" t="s">
        <v>45</v>
      </c>
    </row>
    <row r="31" customFormat="false" ht="30" hidden="false" customHeight="true" outlineLevel="0" collapsed="false">
      <c r="A31" s="4" t="s">
        <v>46</v>
      </c>
      <c r="B31" s="4" t="s">
        <v>47</v>
      </c>
      <c r="C31" s="4" t="s">
        <v>29</v>
      </c>
      <c r="D31" s="4" t="s">
        <v>48</v>
      </c>
      <c r="E31" s="4" t="s">
        <v>49</v>
      </c>
      <c r="F31" s="4" t="s">
        <v>50</v>
      </c>
      <c r="G31" s="4" t="s">
        <v>11</v>
      </c>
      <c r="H31" s="4" t="s">
        <v>12</v>
      </c>
      <c r="I31" s="4" t="s">
        <v>14</v>
      </c>
      <c r="J31" s="4" t="s">
        <v>51</v>
      </c>
    </row>
    <row r="32" customFormat="false" ht="23.85" hidden="false" customHeight="false" outlineLevel="0" collapsed="false">
      <c r="A32" s="10" t="n">
        <f aca="false">Clubs!I5</f>
        <v>1</v>
      </c>
      <c r="B32" s="13" t="str">
        <f aca="false">Clubs!B5</f>
        <v>Alice Lane</v>
      </c>
      <c r="C32" s="18" t="str">
        <f aca="false">Clubs!C5</f>
        <v>Gauteng</v>
      </c>
      <c r="D32" s="18" t="str">
        <f aca="false">Clubs!D5</f>
        <v>Sandton</v>
      </c>
      <c r="E32" s="18" t="str">
        <f aca="false">Clubs!E5</f>
        <v>Collection</v>
      </c>
      <c r="F32" s="18" t="str">
        <f aca="false">Clubs!H5</f>
        <v>Mid 2027 · reference zone</v>
      </c>
      <c r="G32" s="19" t="n">
        <f aca="false">Clubs!J5</f>
        <v>2</v>
      </c>
      <c r="H32" s="20" t="n">
        <f aca="false">Clubs!M5</f>
        <v>2886000</v>
      </c>
      <c r="I32" s="21" t="n">
        <f aca="false">Clubs!Q5</f>
        <v>549901.202941177</v>
      </c>
      <c r="J32" s="22" t="str">
        <f aca="false">Clubs!R5</f>
        <v>Newest Sandton Collection club. The Johannesburg flagship and the reference zone the rest of the chain is built from.</v>
      </c>
    </row>
    <row r="33" customFormat="false" ht="23.85" hidden="false" customHeight="false" outlineLevel="0" collapsed="false">
      <c r="A33" s="10" t="n">
        <f aca="false">Clubs!I6</f>
        <v>2</v>
      </c>
      <c r="B33" s="13" t="str">
        <f aca="false">Clubs!B6</f>
        <v>Melrose Arch</v>
      </c>
      <c r="C33" s="18" t="str">
        <f aca="false">Clubs!C6</f>
        <v>Gauteng</v>
      </c>
      <c r="D33" s="18" t="str">
        <f aca="false">Clubs!D6</f>
        <v>Johannesburg</v>
      </c>
      <c r="E33" s="18" t="str">
        <f aca="false">Clubs!E6</f>
        <v>Collection</v>
      </c>
      <c r="F33" s="18" t="str">
        <f aca="false">Clubs!H6</f>
        <v>Q3 2027</v>
      </c>
      <c r="G33" s="19" t="n">
        <f aca="false">Clubs!J6</f>
        <v>2</v>
      </c>
      <c r="H33" s="20" t="n">
        <f aca="false">Clubs!M6</f>
        <v>2886000</v>
      </c>
      <c r="I33" s="21" t="n">
        <f aca="false">Clubs!Q6</f>
        <v>549901.202941177</v>
      </c>
      <c r="J33" s="22" t="str">
        <f aca="false">Clubs!R6</f>
        <v>Original Collection club, precinct with hospitality and retail footfall. Second Johannesburg Signature zone.</v>
      </c>
    </row>
    <row r="34" customFormat="false" ht="15" hidden="false" customHeight="false" outlineLevel="0" collapsed="false">
      <c r="A34" s="10" t="n">
        <f aca="false">Clubs!I7</f>
        <v>3</v>
      </c>
      <c r="B34" s="13" t="str">
        <f aca="false">Clubs!B7</f>
        <v>Menlyn Maine</v>
      </c>
      <c r="C34" s="18" t="str">
        <f aca="false">Clubs!C7</f>
        <v>Gauteng</v>
      </c>
      <c r="D34" s="18" t="str">
        <f aca="false">Clubs!D7</f>
        <v>Pretoria</v>
      </c>
      <c r="E34" s="18" t="str">
        <f aca="false">Clubs!E7</f>
        <v>Collection</v>
      </c>
      <c r="F34" s="18" t="str">
        <f aca="false">Clubs!H7</f>
        <v>Q3 2027</v>
      </c>
      <c r="G34" s="19" t="n">
        <f aca="false">Clubs!J7</f>
        <v>2</v>
      </c>
      <c r="H34" s="20" t="n">
        <f aca="false">Clubs!M7</f>
        <v>2886000</v>
      </c>
      <c r="I34" s="21" t="n">
        <f aca="false">Clubs!Q7</f>
        <v>549901.202941177</v>
      </c>
      <c r="J34" s="22" t="str">
        <f aca="false">Clubs!R7</f>
        <v>Pretoria's Collection club. Anchors the east-Pretoria cluster.</v>
      </c>
    </row>
    <row r="35" customFormat="false" ht="15" hidden="false" customHeight="false" outlineLevel="0" collapsed="false">
      <c r="A35" s="10" t="n">
        <f aca="false">Clubs!I8</f>
        <v>4</v>
      </c>
      <c r="B35" s="13" t="str">
        <f aca="false">Clubs!B8</f>
        <v>Sandton</v>
      </c>
      <c r="C35" s="18" t="str">
        <f aca="false">Clubs!C8</f>
        <v>Gauteng</v>
      </c>
      <c r="D35" s="18" t="str">
        <f aca="false">Clubs!D8</f>
        <v>Sandton</v>
      </c>
      <c r="E35" s="18" t="str">
        <f aca="false">Clubs!E8</f>
        <v>Club</v>
      </c>
      <c r="F35" s="18" t="str">
        <f aca="false">Clubs!H8</f>
        <v>Q3 2027</v>
      </c>
      <c r="G35" s="19" t="n">
        <f aca="false">Clubs!J8</f>
        <v>2</v>
      </c>
      <c r="H35" s="20" t="n">
        <f aca="false">Clubs!M8</f>
        <v>2886000</v>
      </c>
      <c r="I35" s="21" t="n">
        <f aca="false">Clubs!Q8</f>
        <v>549901.202941177</v>
      </c>
      <c r="J35" s="22" t="str">
        <f aca="false">Clubs!R8</f>
        <v>Flagship club in Sandton. High-income catchment, two Signature bays.</v>
      </c>
    </row>
    <row r="36" customFormat="false" ht="15" hidden="false" customHeight="false" outlineLevel="0" collapsed="false">
      <c r="A36" s="10" t="n">
        <f aca="false">Clubs!I9</f>
        <v>5</v>
      </c>
      <c r="B36" s="13" t="str">
        <f aca="false">Clubs!B9</f>
        <v>Bryanston</v>
      </c>
      <c r="C36" s="18" t="str">
        <f aca="false">Clubs!C9</f>
        <v>Gauteng</v>
      </c>
      <c r="D36" s="18" t="str">
        <f aca="false">Clubs!D9</f>
        <v>Sandton</v>
      </c>
      <c r="E36" s="18" t="str">
        <f aca="false">Clubs!E9</f>
        <v>Club</v>
      </c>
      <c r="F36" s="18" t="str">
        <f aca="false">Clubs!H9</f>
        <v>Q3 2027</v>
      </c>
      <c r="G36" s="19" t="n">
        <f aca="false">Clubs!J9</f>
        <v>2</v>
      </c>
      <c r="H36" s="20" t="n">
        <f aca="false">Clubs!M9</f>
        <v>2886000</v>
      </c>
      <c r="I36" s="21" t="n">
        <f aca="false">Clubs!Q9</f>
        <v>549901.202941177</v>
      </c>
      <c r="J36" s="22" t="str">
        <f aca="false">Clubs!R9</f>
        <v>Flagship club in Sandton. High-income catchment, two Signature bays.</v>
      </c>
    </row>
    <row r="37" customFormat="false" ht="15" hidden="false" customHeight="false" outlineLevel="0" collapsed="false">
      <c r="A37" s="10" t="n">
        <f aca="false">Clubs!I10</f>
        <v>6</v>
      </c>
      <c r="B37" s="13" t="str">
        <f aca="false">Clubs!B10</f>
        <v>Morningside</v>
      </c>
      <c r="C37" s="18" t="str">
        <f aca="false">Clubs!C10</f>
        <v>Gauteng</v>
      </c>
      <c r="D37" s="18" t="str">
        <f aca="false">Clubs!D10</f>
        <v>Sandton</v>
      </c>
      <c r="E37" s="18" t="str">
        <f aca="false">Clubs!E10</f>
        <v>Club</v>
      </c>
      <c r="F37" s="18" t="str">
        <f aca="false">Clubs!H10</f>
        <v>Q3 2027</v>
      </c>
      <c r="G37" s="19" t="n">
        <f aca="false">Clubs!J10</f>
        <v>2</v>
      </c>
      <c r="H37" s="20" t="n">
        <f aca="false">Clubs!M10</f>
        <v>2886000</v>
      </c>
      <c r="I37" s="21" t="n">
        <f aca="false">Clubs!Q10</f>
        <v>549901.202941177</v>
      </c>
      <c r="J37" s="22" t="str">
        <f aca="false">Clubs!R10</f>
        <v>Flagship club in Sandton. High-income catchment, two Signature bays.</v>
      </c>
    </row>
    <row r="38" customFormat="false" ht="15" hidden="false" customHeight="false" outlineLevel="0" collapsed="false">
      <c r="A38" s="10" t="n">
        <f aca="false">Clubs!I11</f>
        <v>7</v>
      </c>
      <c r="B38" s="13" t="str">
        <f aca="false">Clubs!B11</f>
        <v>Waterfall</v>
      </c>
      <c r="C38" s="18" t="str">
        <f aca="false">Clubs!C11</f>
        <v>Gauteng</v>
      </c>
      <c r="D38" s="18" t="str">
        <f aca="false">Clubs!D11</f>
        <v>Midrand</v>
      </c>
      <c r="E38" s="18" t="str">
        <f aca="false">Clubs!E11</f>
        <v>Club</v>
      </c>
      <c r="F38" s="18" t="str">
        <f aca="false">Clubs!H11</f>
        <v>Q3 2027</v>
      </c>
      <c r="G38" s="19" t="n">
        <f aca="false">Clubs!J11</f>
        <v>2</v>
      </c>
      <c r="H38" s="20" t="n">
        <f aca="false">Clubs!M11</f>
        <v>2886000</v>
      </c>
      <c r="I38" s="21" t="n">
        <f aca="false">Clubs!Q11</f>
        <v>549901.202941177</v>
      </c>
      <c r="J38" s="22" t="str">
        <f aca="false">Clubs!R11</f>
        <v>Flagship club in Midrand. High-income catchment, two Signature bays.</v>
      </c>
    </row>
    <row r="39" customFormat="false" ht="23.85" hidden="false" customHeight="false" outlineLevel="0" collapsed="false">
      <c r="A39" s="10" t="n">
        <f aca="false">Clubs!I12</f>
        <v>8</v>
      </c>
      <c r="B39" s="13" t="str">
        <f aca="false">Clubs!B12</f>
        <v>Centurion</v>
      </c>
      <c r="C39" s="18" t="str">
        <f aca="false">Clubs!C12</f>
        <v>Gauteng</v>
      </c>
      <c r="D39" s="18" t="str">
        <f aca="false">Clubs!D12</f>
        <v>Centurion</v>
      </c>
      <c r="E39" s="18" t="str">
        <f aca="false">Clubs!E12</f>
        <v>Club</v>
      </c>
      <c r="F39" s="18" t="str">
        <f aca="false">Clubs!H12</f>
        <v>Q4 2027</v>
      </c>
      <c r="G39" s="19" t="n">
        <f aca="false">Clubs!J12</f>
        <v>2</v>
      </c>
      <c r="H39" s="20" t="n">
        <f aca="false">Clubs!M12</f>
        <v>2886000</v>
      </c>
      <c r="I39" s="21" t="n">
        <f aca="false">Clubs!Q12</f>
        <v>549901.202941177</v>
      </c>
      <c r="J39" s="22" t="str">
        <f aca="false">Clubs!R12</f>
        <v>Already runs padel courts, so members book court time. Proves the booked-like-padel model.</v>
      </c>
    </row>
    <row r="40" customFormat="false" ht="15" hidden="false" customHeight="false" outlineLevel="0" collapsed="false">
      <c r="A40" s="10" t="n">
        <f aca="false">Clubs!I13</f>
        <v>9</v>
      </c>
      <c r="B40" s="13" t="str">
        <f aca="false">Clubs!B13</f>
        <v>Rosebank</v>
      </c>
      <c r="C40" s="18" t="str">
        <f aca="false">Clubs!C13</f>
        <v>Gauteng</v>
      </c>
      <c r="D40" s="18" t="str">
        <f aca="false">Clubs!D13</f>
        <v>Johannesburg</v>
      </c>
      <c r="E40" s="18" t="str">
        <f aca="false">Clubs!E13</f>
        <v>Club</v>
      </c>
      <c r="F40" s="18" t="str">
        <f aca="false">Clubs!H13</f>
        <v>Q4 2027</v>
      </c>
      <c r="G40" s="19" t="n">
        <f aca="false">Clubs!J13</f>
        <v>2</v>
      </c>
      <c r="H40" s="20" t="n">
        <f aca="false">Clubs!M13</f>
        <v>2886000</v>
      </c>
      <c r="I40" s="21" t="n">
        <f aca="false">Clubs!Q13</f>
        <v>549901.202941177</v>
      </c>
      <c r="J40" s="22" t="str">
        <f aca="false">Clubs!R13</f>
        <v>Flagship club in Johannesburg. High-income catchment, two Signature bays.</v>
      </c>
    </row>
    <row r="41" customFormat="false" ht="15" hidden="false" customHeight="false" outlineLevel="0" collapsed="false">
      <c r="A41" s="10" t="n">
        <f aca="false">Clubs!I14</f>
        <v>10</v>
      </c>
      <c r="B41" s="13" t="str">
        <f aca="false">Clubs!B14</f>
        <v>Dainfern</v>
      </c>
      <c r="C41" s="18" t="str">
        <f aca="false">Clubs!C14</f>
        <v>Gauteng</v>
      </c>
      <c r="D41" s="18" t="str">
        <f aca="false">Clubs!D14</f>
        <v>Fourways</v>
      </c>
      <c r="E41" s="18" t="str">
        <f aca="false">Clubs!E14</f>
        <v>Club</v>
      </c>
      <c r="F41" s="18" t="str">
        <f aca="false">Clubs!H14</f>
        <v>Q4 2027</v>
      </c>
      <c r="G41" s="19" t="n">
        <f aca="false">Clubs!J14</f>
        <v>2</v>
      </c>
      <c r="H41" s="20" t="n">
        <f aca="false">Clubs!M14</f>
        <v>2886000</v>
      </c>
      <c r="I41" s="21" t="n">
        <f aca="false">Clubs!Q14</f>
        <v>549901.202941177</v>
      </c>
      <c r="J41" s="22" t="str">
        <f aca="false">Clubs!R14</f>
        <v>Flagship club in Fourways. High-income catchment, two Signature bays.</v>
      </c>
    </row>
    <row r="42" customFormat="false" ht="23.85" hidden="false" customHeight="false" outlineLevel="0" collapsed="false">
      <c r="A42" s="10" t="n">
        <f aca="false">Clubs!I15</f>
        <v>11</v>
      </c>
      <c r="B42" s="13" t="str">
        <f aca="false">Clubs!B15</f>
        <v>Silo District</v>
      </c>
      <c r="C42" s="18" t="str">
        <f aca="false">Clubs!C15</f>
        <v>Western Cape</v>
      </c>
      <c r="D42" s="18" t="str">
        <f aca="false">Clubs!D15</f>
        <v>V&amp;A Waterfront</v>
      </c>
      <c r="E42" s="18" t="str">
        <f aca="false">Clubs!E15</f>
        <v>Collection</v>
      </c>
      <c r="F42" s="18" t="str">
        <f aca="false">Clubs!H15</f>
        <v>Q4 2027</v>
      </c>
      <c r="G42" s="19" t="n">
        <f aca="false">Clubs!J15</f>
        <v>2</v>
      </c>
      <c r="H42" s="20" t="n">
        <f aca="false">Clubs!M15</f>
        <v>2886000</v>
      </c>
      <c r="I42" s="21" t="n">
        <f aca="false">Clubs!Q15</f>
        <v>549901.202941177</v>
      </c>
      <c r="J42" s="22" t="str">
        <f aca="false">Clubs!R15</f>
        <v>Waterfront Collection club, tourist and corporate footfall. Cape Town Signature zone.</v>
      </c>
    </row>
    <row r="43" customFormat="false" ht="23.85" hidden="false" customHeight="false" outlineLevel="0" collapsed="false">
      <c r="A43" s="10" t="n">
        <f aca="false">Clubs!I16</f>
        <v>12</v>
      </c>
      <c r="B43" s="13" t="str">
        <f aca="false">Clubs!B16</f>
        <v>Wembley Square</v>
      </c>
      <c r="C43" s="18" t="str">
        <f aca="false">Clubs!C16</f>
        <v>Western Cape</v>
      </c>
      <c r="D43" s="18" t="str">
        <f aca="false">Clubs!D16</f>
        <v>Gardens</v>
      </c>
      <c r="E43" s="18" t="str">
        <f aca="false">Clubs!E16</f>
        <v>Collection</v>
      </c>
      <c r="F43" s="18" t="str">
        <f aca="false">Clubs!H16</f>
        <v>Q4 2027</v>
      </c>
      <c r="G43" s="19" t="n">
        <f aca="false">Clubs!J16</f>
        <v>2</v>
      </c>
      <c r="H43" s="20" t="n">
        <f aca="false">Clubs!M16</f>
        <v>2886000</v>
      </c>
      <c r="I43" s="21" t="n">
        <f aca="false">Clubs!Q16</f>
        <v>549901.202941177</v>
      </c>
      <c r="J43" s="22" t="str">
        <f aca="false">Clubs!R16</f>
        <v>Reopening as the first Collection Urban Club. Design the golf zone into the new build rather than retrofit.</v>
      </c>
    </row>
    <row r="44" customFormat="false" ht="15" hidden="false" customHeight="false" outlineLevel="0" collapsed="false">
      <c r="A44" s="10" t="n">
        <f aca="false">Clubs!I17</f>
        <v>13</v>
      </c>
      <c r="B44" s="13" t="str">
        <f aca="false">Clubs!B17</f>
        <v>Claremont</v>
      </c>
      <c r="C44" s="18" t="str">
        <f aca="false">Clubs!C17</f>
        <v>Western Cape</v>
      </c>
      <c r="D44" s="18" t="str">
        <f aca="false">Clubs!D17</f>
        <v>Southern Suburbs</v>
      </c>
      <c r="E44" s="18" t="str">
        <f aca="false">Clubs!E17</f>
        <v>Club</v>
      </c>
      <c r="F44" s="18" t="str">
        <f aca="false">Clubs!H17</f>
        <v>Q4 2027</v>
      </c>
      <c r="G44" s="19" t="n">
        <f aca="false">Clubs!J17</f>
        <v>2</v>
      </c>
      <c r="H44" s="20" t="n">
        <f aca="false">Clubs!M17</f>
        <v>2886000</v>
      </c>
      <c r="I44" s="21" t="n">
        <f aca="false">Clubs!Q17</f>
        <v>549901.202941177</v>
      </c>
      <c r="J44" s="22" t="str">
        <f aca="false">Clubs!R17</f>
        <v>Flagship club in Southern Suburbs. High-income catchment, two Signature bays.</v>
      </c>
    </row>
    <row r="45" customFormat="false" ht="15" hidden="false" customHeight="false" outlineLevel="0" collapsed="false">
      <c r="A45" s="10" t="n">
        <f aca="false">Clubs!I18</f>
        <v>14</v>
      </c>
      <c r="B45" s="13" t="str">
        <f aca="false">Clubs!B18</f>
        <v>Constantia</v>
      </c>
      <c r="C45" s="18" t="str">
        <f aca="false">Clubs!C18</f>
        <v>Western Cape</v>
      </c>
      <c r="D45" s="18" t="str">
        <f aca="false">Clubs!D18</f>
        <v>Southern Suburbs</v>
      </c>
      <c r="E45" s="18" t="str">
        <f aca="false">Clubs!E18</f>
        <v>Club</v>
      </c>
      <c r="F45" s="18" t="str">
        <f aca="false">Clubs!H18</f>
        <v>Q4 2027</v>
      </c>
      <c r="G45" s="19" t="n">
        <f aca="false">Clubs!J18</f>
        <v>2</v>
      </c>
      <c r="H45" s="20" t="n">
        <f aca="false">Clubs!M18</f>
        <v>2886000</v>
      </c>
      <c r="I45" s="21" t="n">
        <f aca="false">Clubs!Q18</f>
        <v>549901.202941177</v>
      </c>
      <c r="J45" s="22" t="str">
        <f aca="false">Clubs!R18</f>
        <v>Flagship club in Southern Suburbs. High-income catchment, two Signature bays.</v>
      </c>
    </row>
    <row r="46" customFormat="false" ht="15" hidden="false" customHeight="false" outlineLevel="0" collapsed="false">
      <c r="A46" s="10" t="n">
        <f aca="false">Clubs!I19</f>
        <v>15</v>
      </c>
      <c r="B46" s="13" t="str">
        <f aca="false">Clubs!B19</f>
        <v>Century City</v>
      </c>
      <c r="C46" s="18" t="str">
        <f aca="false">Clubs!C19</f>
        <v>Western Cape</v>
      </c>
      <c r="D46" s="18" t="str">
        <f aca="false">Clubs!D19</f>
        <v>Century City</v>
      </c>
      <c r="E46" s="18" t="str">
        <f aca="false">Clubs!E19</f>
        <v>Club</v>
      </c>
      <c r="F46" s="18" t="str">
        <f aca="false">Clubs!H19</f>
        <v>Q4 2027</v>
      </c>
      <c r="G46" s="19" t="n">
        <f aca="false">Clubs!J19</f>
        <v>2</v>
      </c>
      <c r="H46" s="20" t="n">
        <f aca="false">Clubs!M19</f>
        <v>2886000</v>
      </c>
      <c r="I46" s="21" t="n">
        <f aca="false">Clubs!Q19</f>
        <v>549901.202941177</v>
      </c>
      <c r="J46" s="22" t="str">
        <f aca="false">Clubs!R19</f>
        <v>Flagship club in Century City. High-income catchment, two Signature bays.</v>
      </c>
    </row>
    <row r="47" customFormat="false" ht="15" hidden="false" customHeight="false" outlineLevel="0" collapsed="false">
      <c r="A47" s="10" t="n">
        <f aca="false">Clubs!I20</f>
        <v>16</v>
      </c>
      <c r="B47" s="13" t="str">
        <f aca="false">Clubs!B20</f>
        <v>Tygervalley</v>
      </c>
      <c r="C47" s="18" t="str">
        <f aca="false">Clubs!C20</f>
        <v>Western Cape</v>
      </c>
      <c r="D47" s="18" t="str">
        <f aca="false">Clubs!D20</f>
        <v>Northern Suburbs</v>
      </c>
      <c r="E47" s="18" t="str">
        <f aca="false">Clubs!E20</f>
        <v>Club</v>
      </c>
      <c r="F47" s="18" t="str">
        <f aca="false">Clubs!H20</f>
        <v>Q4 2027</v>
      </c>
      <c r="G47" s="19" t="n">
        <f aca="false">Clubs!J20</f>
        <v>2</v>
      </c>
      <c r="H47" s="20" t="n">
        <f aca="false">Clubs!M20</f>
        <v>2886000</v>
      </c>
      <c r="I47" s="21" t="n">
        <f aca="false">Clubs!Q20</f>
        <v>549901.202941177</v>
      </c>
      <c r="J47" s="22" t="str">
        <f aca="false">Clubs!R20</f>
        <v>Flagship club in Northern Suburbs. High-income catchment, two Signature bays.</v>
      </c>
    </row>
    <row r="48" customFormat="false" ht="15" hidden="false" customHeight="false" outlineLevel="0" collapsed="false">
      <c r="A48" s="10" t="n">
        <f aca="false">Clubs!I21</f>
        <v>17</v>
      </c>
      <c r="B48" s="13" t="str">
        <f aca="false">Clubs!B21</f>
        <v>Moses Mabhida</v>
      </c>
      <c r="C48" s="18" t="str">
        <f aca="false">Clubs!C21</f>
        <v>KwaZulu-Natal</v>
      </c>
      <c r="D48" s="18" t="str">
        <f aca="false">Clubs!D21</f>
        <v>Durban</v>
      </c>
      <c r="E48" s="18" t="str">
        <f aca="false">Clubs!E21</f>
        <v>Collection</v>
      </c>
      <c r="F48" s="18" t="str">
        <f aca="false">Clubs!H21</f>
        <v>Q4 2027</v>
      </c>
      <c r="G48" s="19" t="n">
        <f aca="false">Clubs!J21</f>
        <v>2</v>
      </c>
      <c r="H48" s="20" t="n">
        <f aca="false">Clubs!M21</f>
        <v>2886000</v>
      </c>
      <c r="I48" s="21" t="n">
        <f aca="false">Clubs!Q21</f>
        <v>549901.202941177</v>
      </c>
      <c r="J48" s="22" t="str">
        <f aca="false">Clubs!R21</f>
        <v>Durban's Collection club inside the stadium. KwaZulu-Natal Signature zone.</v>
      </c>
    </row>
    <row r="49" customFormat="false" ht="15" hidden="false" customHeight="false" outlineLevel="0" collapsed="false">
      <c r="A49" s="10" t="n">
        <f aca="false">Clubs!I22</f>
        <v>18</v>
      </c>
      <c r="B49" s="13" t="str">
        <f aca="false">Clubs!B22</f>
        <v>Gateway</v>
      </c>
      <c r="C49" s="18" t="str">
        <f aca="false">Clubs!C22</f>
        <v>KwaZulu-Natal</v>
      </c>
      <c r="D49" s="18" t="str">
        <f aca="false">Clubs!D22</f>
        <v>uMhlanga</v>
      </c>
      <c r="E49" s="18" t="str">
        <f aca="false">Clubs!E22</f>
        <v>Club</v>
      </c>
      <c r="F49" s="18" t="str">
        <f aca="false">Clubs!H22</f>
        <v>Q4 2027</v>
      </c>
      <c r="G49" s="19" t="n">
        <f aca="false">Clubs!J22</f>
        <v>2</v>
      </c>
      <c r="H49" s="20" t="n">
        <f aca="false">Clubs!M22</f>
        <v>2886000</v>
      </c>
      <c r="I49" s="21" t="n">
        <f aca="false">Clubs!Q22</f>
        <v>549901.202941177</v>
      </c>
      <c r="J49" s="22" t="str">
        <f aca="false">Clubs!R22</f>
        <v>Flagship club in uMhlanga. High-income catchment, two Signature bays.</v>
      </c>
    </row>
    <row r="50" customFormat="false" ht="15" hidden="false" customHeight="false" outlineLevel="0" collapsed="false">
      <c r="A50" s="10" t="n">
        <f aca="false">Clubs!I23</f>
        <v>19</v>
      </c>
      <c r="B50" s="13" t="str">
        <f aca="false">Clubs!B23</f>
        <v>La Lucia</v>
      </c>
      <c r="C50" s="18" t="str">
        <f aca="false">Clubs!C23</f>
        <v>KwaZulu-Natal</v>
      </c>
      <c r="D50" s="18" t="str">
        <f aca="false">Clubs!D23</f>
        <v>uMhlanga</v>
      </c>
      <c r="E50" s="18" t="str">
        <f aca="false">Clubs!E23</f>
        <v>Club</v>
      </c>
      <c r="F50" s="18" t="str">
        <f aca="false">Clubs!H23</f>
        <v>Q4 2027</v>
      </c>
      <c r="G50" s="19" t="n">
        <f aca="false">Clubs!J23</f>
        <v>2</v>
      </c>
      <c r="H50" s="20" t="n">
        <f aca="false">Clubs!M23</f>
        <v>2886000</v>
      </c>
      <c r="I50" s="21" t="n">
        <f aca="false">Clubs!Q23</f>
        <v>549901.202941177</v>
      </c>
      <c r="J50" s="22" t="str">
        <f aca="false">Clubs!R23</f>
        <v>Flagship club in uMhlanga. High-income catchment, two Signature bays.</v>
      </c>
    </row>
    <row r="51" customFormat="false" ht="15" hidden="false" customHeight="false" outlineLevel="0" collapsed="false">
      <c r="A51" s="10" t="n">
        <f aca="false">Clubs!I24</f>
        <v>20</v>
      </c>
      <c r="B51" s="13" t="str">
        <f aca="false">Clubs!B24</f>
        <v>Ballito</v>
      </c>
      <c r="C51" s="18" t="str">
        <f aca="false">Clubs!C24</f>
        <v>KwaZulu-Natal</v>
      </c>
      <c r="D51" s="18" t="str">
        <f aca="false">Clubs!D24</f>
        <v>North Coast</v>
      </c>
      <c r="E51" s="18" t="str">
        <f aca="false">Clubs!E24</f>
        <v>Club</v>
      </c>
      <c r="F51" s="18" t="str">
        <f aca="false">Clubs!H24</f>
        <v>Q4 2027</v>
      </c>
      <c r="G51" s="19" t="n">
        <f aca="false">Clubs!J24</f>
        <v>2</v>
      </c>
      <c r="H51" s="20" t="n">
        <f aca="false">Clubs!M24</f>
        <v>2886000</v>
      </c>
      <c r="I51" s="21" t="n">
        <f aca="false">Clubs!Q24</f>
        <v>549901.202941177</v>
      </c>
      <c r="J51" s="22" t="str">
        <f aca="false">Clubs!R24</f>
        <v>Flagship club in North Coast. High-income catchment, two Signature bays.</v>
      </c>
    </row>
    <row r="54" customFormat="false" ht="15" hidden="false" customHeight="false" outlineLevel="0" collapsed="false">
      <c r="A54" s="3" t="s">
        <v>52</v>
      </c>
    </row>
    <row r="55" customFormat="false" ht="15" hidden="false" customHeight="false" outlineLevel="0" collapsed="false">
      <c r="A55" s="4" t="s">
        <v>53</v>
      </c>
      <c r="B55" s="4" t="s">
        <v>54</v>
      </c>
    </row>
    <row r="56" customFormat="false" ht="15" hidden="false" customHeight="false" outlineLevel="0" collapsed="false">
      <c r="A56" s="13" t="s">
        <v>55</v>
      </c>
      <c r="B56" s="8" t="s">
        <v>56</v>
      </c>
    </row>
    <row r="57" customFormat="false" ht="15" hidden="false" customHeight="false" outlineLevel="0" collapsed="false">
      <c r="A57" s="13" t="s">
        <v>57</v>
      </c>
      <c r="B57" s="8" t="s">
        <v>58</v>
      </c>
    </row>
    <row r="58" customFormat="false" ht="15" hidden="false" customHeight="false" outlineLevel="0" collapsed="false">
      <c r="A58" s="13" t="s">
        <v>59</v>
      </c>
      <c r="B58" s="8" t="s">
        <v>60</v>
      </c>
    </row>
    <row r="59" customFormat="false" ht="15" hidden="false" customHeight="false" outlineLevel="0" collapsed="false">
      <c r="A59" s="13" t="s">
        <v>61</v>
      </c>
      <c r="B59" s="8" t="s">
        <v>62</v>
      </c>
    </row>
    <row r="60" customFormat="false" ht="15" hidden="false" customHeight="false" outlineLevel="0" collapsed="false">
      <c r="A60" s="13" t="s">
        <v>63</v>
      </c>
      <c r="B60" s="8" t="s">
        <v>64</v>
      </c>
    </row>
    <row r="61" customFormat="false" ht="15" hidden="false" customHeight="false" outlineLevel="0" collapsed="false">
      <c r="A61" s="13" t="s">
        <v>65</v>
      </c>
      <c r="B61" s="8" t="s">
        <v>66</v>
      </c>
    </row>
    <row r="62" customFormat="false" ht="15" hidden="false" customHeight="false" outlineLevel="0" collapsed="false">
      <c r="A62" s="13" t="s">
        <v>67</v>
      </c>
      <c r="B62" s="8" t="s">
        <v>68</v>
      </c>
    </row>
    <row r="64" customFormat="false" ht="15" hidden="false" customHeight="false" outlineLevel="0" collapsed="false">
      <c r="A64" s="3" t="s">
        <v>69</v>
      </c>
    </row>
    <row r="65" customFormat="false" ht="15" hidden="false" customHeight="false" outlineLevel="0" collapsed="false">
      <c r="A65" s="4" t="s">
        <v>47</v>
      </c>
      <c r="B65" s="4" t="s">
        <v>70</v>
      </c>
      <c r="C65" s="4" t="s">
        <v>71</v>
      </c>
    </row>
    <row r="66" customFormat="false" ht="15" hidden="false" customHeight="false" outlineLevel="0" collapsed="false">
      <c r="A66" s="8" t="s">
        <v>72</v>
      </c>
      <c r="B66" s="8" t="s">
        <v>73</v>
      </c>
      <c r="C66" s="8" t="s">
        <v>74</v>
      </c>
    </row>
    <row r="67" customFormat="false" ht="15" hidden="false" customHeight="false" outlineLevel="0" collapsed="false">
      <c r="A67" s="8" t="s">
        <v>75</v>
      </c>
      <c r="B67" s="8" t="s">
        <v>76</v>
      </c>
      <c r="C67" s="8" t="s">
        <v>77</v>
      </c>
    </row>
    <row r="68" customFormat="false" ht="15" hidden="false" customHeight="false" outlineLevel="0" collapsed="false">
      <c r="A68" s="8" t="s">
        <v>78</v>
      </c>
      <c r="B68" s="8" t="s">
        <v>79</v>
      </c>
      <c r="C68" s="8" t="s">
        <v>77</v>
      </c>
    </row>
    <row r="69" customFormat="false" ht="15" hidden="false" customHeight="false" outlineLevel="0" collapsed="false">
      <c r="A69" s="8" t="s">
        <v>80</v>
      </c>
      <c r="B69" s="8" t="s">
        <v>81</v>
      </c>
      <c r="C69" s="8" t="s">
        <v>82</v>
      </c>
    </row>
    <row r="72" customFormat="false" ht="15" hidden="false" customHeight="false" outlineLevel="0" collapsed="false">
      <c r="A72" s="3" t="s">
        <v>83</v>
      </c>
    </row>
    <row r="73" customFormat="false" ht="15" hidden="false" customHeight="false" outlineLevel="0" collapsed="false">
      <c r="A73" s="23" t="s">
        <v>84</v>
      </c>
      <c r="B73" s="8" t="s">
        <v>85</v>
      </c>
    </row>
    <row r="74" customFormat="false" ht="15" hidden="false" customHeight="false" outlineLevel="0" collapsed="false">
      <c r="A74" s="8" t="s">
        <v>86</v>
      </c>
      <c r="B74" s="8" t="s">
        <v>87</v>
      </c>
    </row>
    <row r="75" customFormat="false" ht="15" hidden="false" customHeight="false" outlineLevel="0" collapsed="false">
      <c r="A75" s="8" t="s">
        <v>88</v>
      </c>
      <c r="B75" s="8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18"/>
    <col collapsed="false" customWidth="true" hidden="false" outlineLevel="0" max="14" min="14" style="0" width="20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3" t="s">
        <v>92</v>
      </c>
    </row>
    <row r="5" customFormat="false" ht="15" hidden="false" customHeight="false" outlineLevel="0" collapsed="false">
      <c r="A5" s="4" t="s">
        <v>84</v>
      </c>
      <c r="B5" s="4" t="s">
        <v>93</v>
      </c>
      <c r="C5" s="4" t="s">
        <v>94</v>
      </c>
    </row>
    <row r="6" customFormat="false" ht="15" hidden="false" customHeight="false" outlineLevel="0" collapsed="false">
      <c r="A6" s="8" t="s">
        <v>95</v>
      </c>
      <c r="B6" s="24" t="n">
        <v>18.5</v>
      </c>
      <c r="C6" s="8" t="s">
        <v>96</v>
      </c>
    </row>
    <row r="7" customFormat="false" ht="15" hidden="false" customHeight="false" outlineLevel="0" collapsed="false">
      <c r="A7" s="8" t="s">
        <v>97</v>
      </c>
      <c r="B7" s="24" t="n">
        <v>1.3</v>
      </c>
      <c r="C7" s="8" t="s">
        <v>98</v>
      </c>
    </row>
    <row r="8" customFormat="false" ht="15" hidden="false" customHeight="false" outlineLevel="0" collapsed="false">
      <c r="A8" s="8" t="s">
        <v>99</v>
      </c>
      <c r="B8" s="9" t="n">
        <v>5400</v>
      </c>
      <c r="C8" s="8" t="s">
        <v>100</v>
      </c>
    </row>
    <row r="9" customFormat="false" ht="15" hidden="false" customHeight="false" outlineLevel="0" collapsed="false">
      <c r="A9" s="8" t="s">
        <v>101</v>
      </c>
      <c r="B9" s="25" t="n">
        <v>0.2</v>
      </c>
      <c r="C9" s="8" t="s">
        <v>102</v>
      </c>
    </row>
    <row r="10" customFormat="false" ht="15" hidden="false" customHeight="false" outlineLevel="0" collapsed="false">
      <c r="A10" s="8" t="s">
        <v>103</v>
      </c>
      <c r="B10" s="17" t="n">
        <v>299</v>
      </c>
      <c r="C10" s="8" t="s">
        <v>104</v>
      </c>
    </row>
    <row r="11" customFormat="false" ht="15" hidden="false" customHeight="false" outlineLevel="0" collapsed="false">
      <c r="A11" s="8" t="s">
        <v>105</v>
      </c>
      <c r="B11" s="25" t="n">
        <v>0.015</v>
      </c>
      <c r="C11" s="8" t="s">
        <v>106</v>
      </c>
    </row>
    <row r="12" customFormat="false" ht="15" hidden="false" customHeight="false" outlineLevel="0" collapsed="false">
      <c r="A12" s="8" t="s">
        <v>107</v>
      </c>
      <c r="B12" s="9" t="n">
        <v>4580.88235294118</v>
      </c>
      <c r="C12" s="8" t="s">
        <v>108</v>
      </c>
    </row>
    <row r="13" customFormat="false" ht="15" hidden="false" customHeight="false" outlineLevel="0" collapsed="false">
      <c r="A13" s="8" t="s">
        <v>109</v>
      </c>
      <c r="B13" s="9" t="n">
        <v>130</v>
      </c>
      <c r="C13" s="8" t="s">
        <v>110</v>
      </c>
    </row>
    <row r="14" customFormat="false" ht="15" hidden="false" customHeight="false" outlineLevel="0" collapsed="false">
      <c r="A14" s="8" t="s">
        <v>111</v>
      </c>
      <c r="B14" s="9" t="n">
        <v>200</v>
      </c>
      <c r="C14" s="8" t="s">
        <v>112</v>
      </c>
    </row>
    <row r="15" customFormat="false" ht="15" hidden="false" customHeight="false" outlineLevel="0" collapsed="false">
      <c r="A15" s="8" t="s">
        <v>113</v>
      </c>
      <c r="B15" s="17" t="n">
        <v>40000</v>
      </c>
      <c r="C15" s="8" t="s">
        <v>114</v>
      </c>
    </row>
    <row r="16" customFormat="false" ht="15" hidden="false" customHeight="false" outlineLevel="0" collapsed="false">
      <c r="A16" s="8" t="s">
        <v>115</v>
      </c>
      <c r="B16" s="17" t="n">
        <v>25000</v>
      </c>
      <c r="C16" s="8"/>
    </row>
    <row r="17" customFormat="false" ht="15" hidden="false" customHeight="false" outlineLevel="0" collapsed="false">
      <c r="A17" s="8" t="s">
        <v>116</v>
      </c>
      <c r="B17" s="24" t="n">
        <v>23.75</v>
      </c>
      <c r="C17" s="8" t="s">
        <v>117</v>
      </c>
    </row>
    <row r="18" customFormat="false" ht="15" hidden="false" customHeight="false" outlineLevel="0" collapsed="false">
      <c r="A18" s="8" t="s">
        <v>118</v>
      </c>
      <c r="B18" s="25" t="n">
        <v>0.9</v>
      </c>
      <c r="C18" s="8" t="s">
        <v>119</v>
      </c>
    </row>
    <row r="21" customFormat="false" ht="15" hidden="false" customHeight="false" outlineLevel="0" collapsed="false">
      <c r="A21" s="3" t="s">
        <v>120</v>
      </c>
    </row>
    <row r="22" customFormat="false" ht="42" hidden="false" customHeight="true" outlineLevel="0" collapsed="false">
      <c r="A22" s="4" t="s">
        <v>6</v>
      </c>
      <c r="B22" s="4" t="s">
        <v>121</v>
      </c>
      <c r="C22" s="4" t="s">
        <v>122</v>
      </c>
      <c r="D22" s="4" t="s">
        <v>12</v>
      </c>
      <c r="E22" s="4" t="s">
        <v>123</v>
      </c>
      <c r="F22" s="4" t="s">
        <v>124</v>
      </c>
      <c r="G22" s="4" t="s">
        <v>125</v>
      </c>
      <c r="H22" s="4" t="s">
        <v>126</v>
      </c>
      <c r="I22" s="4" t="s">
        <v>127</v>
      </c>
      <c r="J22" s="4" t="s">
        <v>128</v>
      </c>
      <c r="K22" s="4" t="s">
        <v>129</v>
      </c>
      <c r="L22" s="4" t="s">
        <v>130</v>
      </c>
      <c r="M22" s="4" t="s">
        <v>131</v>
      </c>
      <c r="N22" s="4" t="s">
        <v>132</v>
      </c>
    </row>
    <row r="23" customFormat="false" ht="15" hidden="false" customHeight="false" outlineLevel="0" collapsed="false">
      <c r="A23" s="13" t="s">
        <v>18</v>
      </c>
      <c r="B23" s="8" t="s">
        <v>133</v>
      </c>
      <c r="C23" s="26" t="n">
        <v>60000</v>
      </c>
      <c r="D23" s="11" t="n">
        <f aca="false">C23*Assumptions!$B$6*Assumptions!$B$7</f>
        <v>1443000</v>
      </c>
      <c r="E23" s="25" t="n">
        <v>0.4</v>
      </c>
      <c r="F23" s="17" t="n">
        <v>520</v>
      </c>
      <c r="G23" s="10" t="n">
        <f aca="false">Assumptions!$B$8*E23</f>
        <v>2160</v>
      </c>
      <c r="H23" s="12" t="n">
        <f aca="false">G23*F23</f>
        <v>1123200</v>
      </c>
      <c r="I23" s="12" t="n">
        <f aca="false">Assumptions!$B$13*Assumptions!$B$12*Assumptions!$B$11*Assumptions!$B$10*12/Assumptions!$B$14</f>
        <v>160253.007352941</v>
      </c>
      <c r="J23" s="12" t="n">
        <f aca="false">Assumptions!$B$15</f>
        <v>40000</v>
      </c>
      <c r="K23" s="12" t="n">
        <f aca="false">G23*Assumptions!$B$17</f>
        <v>51300</v>
      </c>
      <c r="L23" s="12" t="n">
        <f aca="false">Assumptions!$B$16</f>
        <v>25000</v>
      </c>
      <c r="M23" s="12" t="n">
        <f aca="false">H23+I23+J23+K23+L23</f>
        <v>1399753.00735294</v>
      </c>
      <c r="N23" s="12" t="n">
        <f aca="false">(H23+I23+J23+K23)*Assumptions!$B$9</f>
        <v>274950.601470588</v>
      </c>
    </row>
    <row r="24" customFormat="false" ht="15" hidden="false" customHeight="false" outlineLevel="0" collapsed="false">
      <c r="A24" s="13" t="s">
        <v>20</v>
      </c>
      <c r="B24" s="8" t="s">
        <v>134</v>
      </c>
      <c r="C24" s="26" t="n">
        <v>35000</v>
      </c>
      <c r="D24" s="11" t="n">
        <f aca="false">C24*Assumptions!$B$6*Assumptions!$B$7</f>
        <v>841750</v>
      </c>
      <c r="E24" s="25" t="n">
        <v>0.33</v>
      </c>
      <c r="F24" s="17" t="n">
        <v>360</v>
      </c>
      <c r="G24" s="10" t="n">
        <f aca="false">Assumptions!$B$8*E24</f>
        <v>1782</v>
      </c>
      <c r="H24" s="12" t="n">
        <f aca="false">G24*F24</f>
        <v>641520</v>
      </c>
      <c r="I24" s="12" t="n">
        <f aca="false">Assumptions!$B$13*Assumptions!$B$12*Assumptions!$B$11*Assumptions!$B$10*12/Assumptions!$B$14</f>
        <v>160253.007352941</v>
      </c>
      <c r="J24" s="12" t="n">
        <f aca="false">Assumptions!$B$15</f>
        <v>40000</v>
      </c>
      <c r="K24" s="12" t="n">
        <f aca="false">G24*Assumptions!$B$17</f>
        <v>42322.5</v>
      </c>
      <c r="L24" s="12" t="n">
        <f aca="false">Assumptions!$B$16</f>
        <v>25000</v>
      </c>
      <c r="M24" s="12" t="n">
        <f aca="false">H24+I24+J24+K24+L24</f>
        <v>909095.507352941</v>
      </c>
      <c r="N24" s="12" t="n">
        <f aca="false">(H24+I24+J24+K24)*Assumptions!$B$9</f>
        <v>176819.101470588</v>
      </c>
    </row>
    <row r="25" customFormat="false" ht="15" hidden="false" customHeight="false" outlineLevel="0" collapsed="false">
      <c r="A25" s="13" t="s">
        <v>135</v>
      </c>
      <c r="B25" s="8" t="s">
        <v>136</v>
      </c>
      <c r="C25" s="26" t="n">
        <v>22000</v>
      </c>
      <c r="D25" s="11" t="n">
        <f aca="false">C25*Assumptions!$B$6*Assumptions!$B$7</f>
        <v>529100</v>
      </c>
      <c r="E25" s="25" t="n">
        <v>0.3</v>
      </c>
      <c r="F25" s="17" t="n">
        <v>240</v>
      </c>
      <c r="G25" s="10" t="n">
        <f aca="false">Assumptions!$B$8*E25</f>
        <v>1620</v>
      </c>
      <c r="H25" s="12" t="n">
        <f aca="false">G25*F25</f>
        <v>388800</v>
      </c>
      <c r="I25" s="12" t="n">
        <f aca="false">Assumptions!$B$13*Assumptions!$B$12*Assumptions!$B$11*Assumptions!$B$10*12/Assumptions!$B$14</f>
        <v>160253.007352941</v>
      </c>
      <c r="J25" s="12" t="n">
        <f aca="false">Assumptions!$B$15</f>
        <v>40000</v>
      </c>
      <c r="K25" s="12" t="n">
        <f aca="false">G25*Assumptions!$B$17</f>
        <v>38475</v>
      </c>
      <c r="L25" s="12" t="n">
        <f aca="false">Assumptions!$B$16</f>
        <v>25000</v>
      </c>
      <c r="M25" s="12" t="n">
        <f aca="false">H25+I25+J25+K25+L25</f>
        <v>652528.007352941</v>
      </c>
      <c r="N25" s="12" t="n">
        <f aca="false">(H25+I25+J25+K25)*Assumptions!$B$9</f>
        <v>125505.601470588</v>
      </c>
    </row>
    <row r="27" customFormat="false" ht="15" hidden="false" customHeight="false" outlineLevel="0" collapsed="false">
      <c r="A27" s="16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7" min="6" style="0" width="7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6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6" min="15" style="0" width="15"/>
    <col collapsed="false" customWidth="true" hidden="false" outlineLevel="0" max="17" min="17" style="0" width="16"/>
    <col collapsed="false" customWidth="true" hidden="false" outlineLevel="0" max="18" min="18" style="0" width="52"/>
    <col collapsed="false" customWidth="true" hidden="false" outlineLevel="0" max="19" min="19" style="0" width="34"/>
    <col collapsed="false" customWidth="true" hidden="false" outlineLevel="0" max="20" min="20" style="0" width="44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43.5" hidden="false" customHeight="true" outlineLevel="0" collapsed="false">
      <c r="A4" s="4" t="s">
        <v>140</v>
      </c>
      <c r="B4" s="4" t="s">
        <v>47</v>
      </c>
      <c r="C4" s="4" t="s">
        <v>29</v>
      </c>
      <c r="D4" s="4" t="s">
        <v>48</v>
      </c>
      <c r="E4" s="4" t="s">
        <v>49</v>
      </c>
      <c r="F4" s="4" t="s">
        <v>3</v>
      </c>
      <c r="G4" s="4" t="s">
        <v>5</v>
      </c>
      <c r="H4" s="4" t="s">
        <v>50</v>
      </c>
      <c r="I4" s="4" t="s">
        <v>141</v>
      </c>
      <c r="J4" s="4" t="s">
        <v>11</v>
      </c>
      <c r="K4" s="4" t="s">
        <v>6</v>
      </c>
      <c r="L4" s="4" t="s">
        <v>121</v>
      </c>
      <c r="M4" s="4" t="s">
        <v>12</v>
      </c>
      <c r="N4" s="4" t="s">
        <v>142</v>
      </c>
      <c r="O4" s="4" t="s">
        <v>143</v>
      </c>
      <c r="P4" s="4" t="s">
        <v>13</v>
      </c>
      <c r="Q4" s="4" t="s">
        <v>14</v>
      </c>
      <c r="R4" s="4" t="s">
        <v>51</v>
      </c>
      <c r="S4" s="4" t="s">
        <v>144</v>
      </c>
      <c r="T4" s="4" t="s">
        <v>145</v>
      </c>
    </row>
    <row r="5" customFormat="false" ht="23.85" hidden="false" customHeight="false" outlineLevel="0" collapsed="false">
      <c r="A5" s="10" t="n">
        <v>1</v>
      </c>
      <c r="B5" s="13" t="s">
        <v>146</v>
      </c>
      <c r="C5" s="8" t="s">
        <v>34</v>
      </c>
      <c r="D5" s="8" t="s">
        <v>147</v>
      </c>
      <c r="E5" s="8" t="s">
        <v>148</v>
      </c>
      <c r="F5" s="27" t="n">
        <v>1</v>
      </c>
      <c r="G5" s="28" t="n">
        <f aca="false">INDEX(Rollout!$C$7:$C$9,F5)</f>
        <v>2027</v>
      </c>
      <c r="H5" s="23" t="s">
        <v>149</v>
      </c>
      <c r="I5" s="27" t="n">
        <v>1</v>
      </c>
      <c r="J5" s="27" t="n">
        <v>2</v>
      </c>
      <c r="K5" s="23" t="s">
        <v>18</v>
      </c>
      <c r="L5" s="18" t="str">
        <f aca="false">INDEX(Assumptions!$B$23:$B$25,MATCH(K5,Assumptions!$A$23:$A$25,0))</f>
        <v>Golfzon TwoVision NX</v>
      </c>
      <c r="M5" s="11" t="n">
        <f aca="false">J5*INDEX(Assumptions!$D$23:$D$25,MATCH(K5,Assumptions!$A$23:$A$25,0))</f>
        <v>2886000</v>
      </c>
      <c r="N5" s="10" t="n">
        <f aca="false">J5*INDEX(Assumptions!$G$23:$G$25,MATCH(K5,Assumptions!$A$23:$A$25,0))</f>
        <v>4320</v>
      </c>
      <c r="O5" s="12" t="n">
        <f aca="false">J5*INDEX(Assumptions!$H$23:$H$25,MATCH(K5,Assumptions!$A$23:$A$25,0))</f>
        <v>2246400</v>
      </c>
      <c r="P5" s="12" t="n">
        <f aca="false">J5*INDEX(Assumptions!$M$23:$M$25,MATCH(K5,Assumptions!$A$23:$A$25,0))</f>
        <v>2799506.01470588</v>
      </c>
      <c r="Q5" s="12" t="n">
        <f aca="false">J5*INDEX(Assumptions!$N$23:$N$25,MATCH(K5,Assumptions!$A$23:$A$25,0))</f>
        <v>549901.202941177</v>
      </c>
      <c r="R5" s="6" t="s">
        <v>150</v>
      </c>
      <c r="S5" s="6"/>
      <c r="T5" s="29" t="s">
        <v>151</v>
      </c>
    </row>
    <row r="6" customFormat="false" ht="23.85" hidden="false" customHeight="false" outlineLevel="0" collapsed="false">
      <c r="A6" s="10" t="n">
        <v>2</v>
      </c>
      <c r="B6" s="13" t="s">
        <v>152</v>
      </c>
      <c r="C6" s="8" t="s">
        <v>34</v>
      </c>
      <c r="D6" s="8" t="s">
        <v>153</v>
      </c>
      <c r="E6" s="8" t="s">
        <v>148</v>
      </c>
      <c r="F6" s="27" t="n">
        <v>1</v>
      </c>
      <c r="G6" s="28" t="n">
        <f aca="false">INDEX(Rollout!$C$7:$C$9,F6)</f>
        <v>2027</v>
      </c>
      <c r="H6" s="23" t="s">
        <v>154</v>
      </c>
      <c r="I6" s="27" t="n">
        <v>2</v>
      </c>
      <c r="J6" s="27" t="n">
        <v>2</v>
      </c>
      <c r="K6" s="23" t="s">
        <v>18</v>
      </c>
      <c r="L6" s="18" t="str">
        <f aca="false">INDEX(Assumptions!$B$23:$B$25,MATCH(K6,Assumptions!$A$23:$A$25,0))</f>
        <v>Golfzon TwoVision NX</v>
      </c>
      <c r="M6" s="11" t="n">
        <f aca="false">J6*INDEX(Assumptions!$D$23:$D$25,MATCH(K6,Assumptions!$A$23:$A$25,0))</f>
        <v>2886000</v>
      </c>
      <c r="N6" s="10" t="n">
        <f aca="false">J6*INDEX(Assumptions!$G$23:$G$25,MATCH(K6,Assumptions!$A$23:$A$25,0))</f>
        <v>4320</v>
      </c>
      <c r="O6" s="12" t="n">
        <f aca="false">J6*INDEX(Assumptions!$H$23:$H$25,MATCH(K6,Assumptions!$A$23:$A$25,0))</f>
        <v>2246400</v>
      </c>
      <c r="P6" s="12" t="n">
        <f aca="false">J6*INDEX(Assumptions!$M$23:$M$25,MATCH(K6,Assumptions!$A$23:$A$25,0))</f>
        <v>2799506.01470588</v>
      </c>
      <c r="Q6" s="12" t="n">
        <f aca="false">J6*INDEX(Assumptions!$N$23:$N$25,MATCH(K6,Assumptions!$A$23:$A$25,0))</f>
        <v>549901.202941177</v>
      </c>
      <c r="R6" s="6" t="s">
        <v>155</v>
      </c>
      <c r="S6" s="6"/>
      <c r="T6" s="29" t="s">
        <v>156</v>
      </c>
    </row>
    <row r="7" customFormat="false" ht="15" hidden="false" customHeight="false" outlineLevel="0" collapsed="false">
      <c r="A7" s="10" t="n">
        <v>3</v>
      </c>
      <c r="B7" s="13" t="s">
        <v>157</v>
      </c>
      <c r="C7" s="8" t="s">
        <v>34</v>
      </c>
      <c r="D7" s="8" t="s">
        <v>158</v>
      </c>
      <c r="E7" s="8" t="s">
        <v>148</v>
      </c>
      <c r="F7" s="27" t="n">
        <v>1</v>
      </c>
      <c r="G7" s="28" t="n">
        <f aca="false">INDEX(Rollout!$C$7:$C$9,F7)</f>
        <v>2027</v>
      </c>
      <c r="H7" s="23" t="s">
        <v>154</v>
      </c>
      <c r="I7" s="27" t="n">
        <v>3</v>
      </c>
      <c r="J7" s="27" t="n">
        <v>2</v>
      </c>
      <c r="K7" s="23" t="s">
        <v>18</v>
      </c>
      <c r="L7" s="18" t="str">
        <f aca="false">INDEX(Assumptions!$B$23:$B$25,MATCH(K7,Assumptions!$A$23:$A$25,0))</f>
        <v>Golfzon TwoVision NX</v>
      </c>
      <c r="M7" s="11" t="n">
        <f aca="false">J7*INDEX(Assumptions!$D$23:$D$25,MATCH(K7,Assumptions!$A$23:$A$25,0))</f>
        <v>2886000</v>
      </c>
      <c r="N7" s="10" t="n">
        <f aca="false">J7*INDEX(Assumptions!$G$23:$G$25,MATCH(K7,Assumptions!$A$23:$A$25,0))</f>
        <v>4320</v>
      </c>
      <c r="O7" s="12" t="n">
        <f aca="false">J7*INDEX(Assumptions!$H$23:$H$25,MATCH(K7,Assumptions!$A$23:$A$25,0))</f>
        <v>2246400</v>
      </c>
      <c r="P7" s="12" t="n">
        <f aca="false">J7*INDEX(Assumptions!$M$23:$M$25,MATCH(K7,Assumptions!$A$23:$A$25,0))</f>
        <v>2799506.01470588</v>
      </c>
      <c r="Q7" s="12" t="n">
        <f aca="false">J7*INDEX(Assumptions!$N$23:$N$25,MATCH(K7,Assumptions!$A$23:$A$25,0))</f>
        <v>549901.202941177</v>
      </c>
      <c r="R7" s="6" t="s">
        <v>159</v>
      </c>
      <c r="S7" s="6"/>
      <c r="T7" s="29" t="s">
        <v>160</v>
      </c>
    </row>
    <row r="8" customFormat="false" ht="15" hidden="false" customHeight="false" outlineLevel="0" collapsed="false">
      <c r="A8" s="10" t="n">
        <v>4</v>
      </c>
      <c r="B8" s="13" t="s">
        <v>147</v>
      </c>
      <c r="C8" s="8" t="s">
        <v>34</v>
      </c>
      <c r="D8" s="8" t="s">
        <v>147</v>
      </c>
      <c r="E8" s="8" t="s">
        <v>47</v>
      </c>
      <c r="F8" s="27" t="n">
        <v>1</v>
      </c>
      <c r="G8" s="28" t="n">
        <f aca="false">INDEX(Rollout!$C$7:$C$9,F8)</f>
        <v>2027</v>
      </c>
      <c r="H8" s="23" t="s">
        <v>154</v>
      </c>
      <c r="I8" s="27" t="n">
        <v>4</v>
      </c>
      <c r="J8" s="27" t="n">
        <v>2</v>
      </c>
      <c r="K8" s="23" t="s">
        <v>18</v>
      </c>
      <c r="L8" s="18" t="str">
        <f aca="false">INDEX(Assumptions!$B$23:$B$25,MATCH(K8,Assumptions!$A$23:$A$25,0))</f>
        <v>Golfzon TwoVision NX</v>
      </c>
      <c r="M8" s="11" t="n">
        <f aca="false">J8*INDEX(Assumptions!$D$23:$D$25,MATCH(K8,Assumptions!$A$23:$A$25,0))</f>
        <v>2886000</v>
      </c>
      <c r="N8" s="10" t="n">
        <f aca="false">J8*INDEX(Assumptions!$G$23:$G$25,MATCH(K8,Assumptions!$A$23:$A$25,0))</f>
        <v>4320</v>
      </c>
      <c r="O8" s="12" t="n">
        <f aca="false">J8*INDEX(Assumptions!$H$23:$H$25,MATCH(K8,Assumptions!$A$23:$A$25,0))</f>
        <v>2246400</v>
      </c>
      <c r="P8" s="12" t="n">
        <f aca="false">J8*INDEX(Assumptions!$M$23:$M$25,MATCH(K8,Assumptions!$A$23:$A$25,0))</f>
        <v>2799506.01470588</v>
      </c>
      <c r="Q8" s="12" t="n">
        <f aca="false">J8*INDEX(Assumptions!$N$23:$N$25,MATCH(K8,Assumptions!$A$23:$A$25,0))</f>
        <v>549901.202941177</v>
      </c>
      <c r="R8" s="6" t="s">
        <v>161</v>
      </c>
      <c r="S8" s="6"/>
      <c r="T8" s="29" t="s">
        <v>162</v>
      </c>
    </row>
    <row r="9" customFormat="false" ht="15" hidden="false" customHeight="false" outlineLevel="0" collapsed="false">
      <c r="A9" s="10" t="n">
        <v>5</v>
      </c>
      <c r="B9" s="13" t="s">
        <v>163</v>
      </c>
      <c r="C9" s="8" t="s">
        <v>34</v>
      </c>
      <c r="D9" s="8" t="s">
        <v>147</v>
      </c>
      <c r="E9" s="8" t="s">
        <v>47</v>
      </c>
      <c r="F9" s="27" t="n">
        <v>1</v>
      </c>
      <c r="G9" s="28" t="n">
        <f aca="false">INDEX(Rollout!$C$7:$C$9,F9)</f>
        <v>2027</v>
      </c>
      <c r="H9" s="23" t="s">
        <v>154</v>
      </c>
      <c r="I9" s="27" t="n">
        <v>5</v>
      </c>
      <c r="J9" s="27" t="n">
        <v>2</v>
      </c>
      <c r="K9" s="23" t="s">
        <v>18</v>
      </c>
      <c r="L9" s="18" t="str">
        <f aca="false">INDEX(Assumptions!$B$23:$B$25,MATCH(K9,Assumptions!$A$23:$A$25,0))</f>
        <v>Golfzon TwoVision NX</v>
      </c>
      <c r="M9" s="11" t="n">
        <f aca="false">J9*INDEX(Assumptions!$D$23:$D$25,MATCH(K9,Assumptions!$A$23:$A$25,0))</f>
        <v>2886000</v>
      </c>
      <c r="N9" s="10" t="n">
        <f aca="false">J9*INDEX(Assumptions!$G$23:$G$25,MATCH(K9,Assumptions!$A$23:$A$25,0))</f>
        <v>4320</v>
      </c>
      <c r="O9" s="12" t="n">
        <f aca="false">J9*INDEX(Assumptions!$H$23:$H$25,MATCH(K9,Assumptions!$A$23:$A$25,0))</f>
        <v>2246400</v>
      </c>
      <c r="P9" s="12" t="n">
        <f aca="false">J9*INDEX(Assumptions!$M$23:$M$25,MATCH(K9,Assumptions!$A$23:$A$25,0))</f>
        <v>2799506.01470588</v>
      </c>
      <c r="Q9" s="12" t="n">
        <f aca="false">J9*INDEX(Assumptions!$N$23:$N$25,MATCH(K9,Assumptions!$A$23:$A$25,0))</f>
        <v>549901.202941177</v>
      </c>
      <c r="R9" s="6" t="s">
        <v>161</v>
      </c>
      <c r="S9" s="6"/>
      <c r="T9" s="29" t="s">
        <v>164</v>
      </c>
    </row>
    <row r="10" customFormat="false" ht="15" hidden="false" customHeight="false" outlineLevel="0" collapsed="false">
      <c r="A10" s="10" t="n">
        <v>6</v>
      </c>
      <c r="B10" s="13" t="s">
        <v>165</v>
      </c>
      <c r="C10" s="8" t="s">
        <v>34</v>
      </c>
      <c r="D10" s="8" t="s">
        <v>147</v>
      </c>
      <c r="E10" s="8" t="s">
        <v>47</v>
      </c>
      <c r="F10" s="27" t="n">
        <v>1</v>
      </c>
      <c r="G10" s="28" t="n">
        <f aca="false">INDEX(Rollout!$C$7:$C$9,F10)</f>
        <v>2027</v>
      </c>
      <c r="H10" s="23" t="s">
        <v>154</v>
      </c>
      <c r="I10" s="27" t="n">
        <v>6</v>
      </c>
      <c r="J10" s="27" t="n">
        <v>2</v>
      </c>
      <c r="K10" s="23" t="s">
        <v>18</v>
      </c>
      <c r="L10" s="18" t="str">
        <f aca="false">INDEX(Assumptions!$B$23:$B$25,MATCH(K10,Assumptions!$A$23:$A$25,0))</f>
        <v>Golfzon TwoVision NX</v>
      </c>
      <c r="M10" s="11" t="n">
        <f aca="false">J10*INDEX(Assumptions!$D$23:$D$25,MATCH(K10,Assumptions!$A$23:$A$25,0))</f>
        <v>2886000</v>
      </c>
      <c r="N10" s="10" t="n">
        <f aca="false">J10*INDEX(Assumptions!$G$23:$G$25,MATCH(K10,Assumptions!$A$23:$A$25,0))</f>
        <v>4320</v>
      </c>
      <c r="O10" s="12" t="n">
        <f aca="false">J10*INDEX(Assumptions!$H$23:$H$25,MATCH(K10,Assumptions!$A$23:$A$25,0))</f>
        <v>2246400</v>
      </c>
      <c r="P10" s="12" t="n">
        <f aca="false">J10*INDEX(Assumptions!$M$23:$M$25,MATCH(K10,Assumptions!$A$23:$A$25,0))</f>
        <v>2799506.01470588</v>
      </c>
      <c r="Q10" s="12" t="n">
        <f aca="false">J10*INDEX(Assumptions!$N$23:$N$25,MATCH(K10,Assumptions!$A$23:$A$25,0))</f>
        <v>549901.202941177</v>
      </c>
      <c r="R10" s="6" t="s">
        <v>161</v>
      </c>
      <c r="S10" s="6"/>
      <c r="T10" s="29" t="s">
        <v>166</v>
      </c>
    </row>
    <row r="11" customFormat="false" ht="15" hidden="false" customHeight="false" outlineLevel="0" collapsed="false">
      <c r="A11" s="10" t="n">
        <v>7</v>
      </c>
      <c r="B11" s="13" t="s">
        <v>167</v>
      </c>
      <c r="C11" s="8" t="s">
        <v>34</v>
      </c>
      <c r="D11" s="8" t="s">
        <v>168</v>
      </c>
      <c r="E11" s="8" t="s">
        <v>47</v>
      </c>
      <c r="F11" s="27" t="n">
        <v>1</v>
      </c>
      <c r="G11" s="28" t="n">
        <f aca="false">INDEX(Rollout!$C$7:$C$9,F11)</f>
        <v>2027</v>
      </c>
      <c r="H11" s="23" t="s">
        <v>154</v>
      </c>
      <c r="I11" s="27" t="n">
        <v>7</v>
      </c>
      <c r="J11" s="27" t="n">
        <v>2</v>
      </c>
      <c r="K11" s="23" t="s">
        <v>18</v>
      </c>
      <c r="L11" s="18" t="str">
        <f aca="false">INDEX(Assumptions!$B$23:$B$25,MATCH(K11,Assumptions!$A$23:$A$25,0))</f>
        <v>Golfzon TwoVision NX</v>
      </c>
      <c r="M11" s="11" t="n">
        <f aca="false">J11*INDEX(Assumptions!$D$23:$D$25,MATCH(K11,Assumptions!$A$23:$A$25,0))</f>
        <v>2886000</v>
      </c>
      <c r="N11" s="10" t="n">
        <f aca="false">J11*INDEX(Assumptions!$G$23:$G$25,MATCH(K11,Assumptions!$A$23:$A$25,0))</f>
        <v>4320</v>
      </c>
      <c r="O11" s="12" t="n">
        <f aca="false">J11*INDEX(Assumptions!$H$23:$H$25,MATCH(K11,Assumptions!$A$23:$A$25,0))</f>
        <v>2246400</v>
      </c>
      <c r="P11" s="12" t="n">
        <f aca="false">J11*INDEX(Assumptions!$M$23:$M$25,MATCH(K11,Assumptions!$A$23:$A$25,0))</f>
        <v>2799506.01470588</v>
      </c>
      <c r="Q11" s="12" t="n">
        <f aca="false">J11*INDEX(Assumptions!$N$23:$N$25,MATCH(K11,Assumptions!$A$23:$A$25,0))</f>
        <v>549901.202941177</v>
      </c>
      <c r="R11" s="6" t="s">
        <v>169</v>
      </c>
      <c r="S11" s="6"/>
      <c r="T11" s="29" t="s">
        <v>170</v>
      </c>
    </row>
    <row r="12" customFormat="false" ht="23.85" hidden="false" customHeight="false" outlineLevel="0" collapsed="false">
      <c r="A12" s="10" t="n">
        <v>8</v>
      </c>
      <c r="B12" s="13" t="s">
        <v>171</v>
      </c>
      <c r="C12" s="8" t="s">
        <v>34</v>
      </c>
      <c r="D12" s="8" t="s">
        <v>171</v>
      </c>
      <c r="E12" s="8" t="s">
        <v>47</v>
      </c>
      <c r="F12" s="27" t="n">
        <v>1</v>
      </c>
      <c r="G12" s="28" t="n">
        <f aca="false">INDEX(Rollout!$C$7:$C$9,F12)</f>
        <v>2027</v>
      </c>
      <c r="H12" s="23" t="s">
        <v>172</v>
      </c>
      <c r="I12" s="27" t="n">
        <v>8</v>
      </c>
      <c r="J12" s="27" t="n">
        <v>2</v>
      </c>
      <c r="K12" s="23" t="s">
        <v>18</v>
      </c>
      <c r="L12" s="18" t="str">
        <f aca="false">INDEX(Assumptions!$B$23:$B$25,MATCH(K12,Assumptions!$A$23:$A$25,0))</f>
        <v>Golfzon TwoVision NX</v>
      </c>
      <c r="M12" s="11" t="n">
        <f aca="false">J12*INDEX(Assumptions!$D$23:$D$25,MATCH(K12,Assumptions!$A$23:$A$25,0))</f>
        <v>2886000</v>
      </c>
      <c r="N12" s="10" t="n">
        <f aca="false">J12*INDEX(Assumptions!$G$23:$G$25,MATCH(K12,Assumptions!$A$23:$A$25,0))</f>
        <v>4320</v>
      </c>
      <c r="O12" s="12" t="n">
        <f aca="false">J12*INDEX(Assumptions!$H$23:$H$25,MATCH(K12,Assumptions!$A$23:$A$25,0))</f>
        <v>2246400</v>
      </c>
      <c r="P12" s="12" t="n">
        <f aca="false">J12*INDEX(Assumptions!$M$23:$M$25,MATCH(K12,Assumptions!$A$23:$A$25,0))</f>
        <v>2799506.01470588</v>
      </c>
      <c r="Q12" s="12" t="n">
        <f aca="false">J12*INDEX(Assumptions!$N$23:$N$25,MATCH(K12,Assumptions!$A$23:$A$25,0))</f>
        <v>549901.202941177</v>
      </c>
      <c r="R12" s="6" t="s">
        <v>173</v>
      </c>
      <c r="S12" s="6" t="s">
        <v>174</v>
      </c>
      <c r="T12" s="29" t="s">
        <v>175</v>
      </c>
    </row>
    <row r="13" customFormat="false" ht="15" hidden="false" customHeight="false" outlineLevel="0" collapsed="false">
      <c r="A13" s="10" t="n">
        <v>9</v>
      </c>
      <c r="B13" s="13" t="s">
        <v>176</v>
      </c>
      <c r="C13" s="8" t="s">
        <v>34</v>
      </c>
      <c r="D13" s="8" t="s">
        <v>153</v>
      </c>
      <c r="E13" s="8" t="s">
        <v>47</v>
      </c>
      <c r="F13" s="27" t="n">
        <v>1</v>
      </c>
      <c r="G13" s="28" t="n">
        <f aca="false">INDEX(Rollout!$C$7:$C$9,F13)</f>
        <v>2027</v>
      </c>
      <c r="H13" s="23" t="s">
        <v>172</v>
      </c>
      <c r="I13" s="27" t="n">
        <v>9</v>
      </c>
      <c r="J13" s="27" t="n">
        <v>2</v>
      </c>
      <c r="K13" s="23" t="s">
        <v>18</v>
      </c>
      <c r="L13" s="18" t="str">
        <f aca="false">INDEX(Assumptions!$B$23:$B$25,MATCH(K13,Assumptions!$A$23:$A$25,0))</f>
        <v>Golfzon TwoVision NX</v>
      </c>
      <c r="M13" s="11" t="n">
        <f aca="false">J13*INDEX(Assumptions!$D$23:$D$25,MATCH(K13,Assumptions!$A$23:$A$25,0))</f>
        <v>2886000</v>
      </c>
      <c r="N13" s="10" t="n">
        <f aca="false">J13*INDEX(Assumptions!$G$23:$G$25,MATCH(K13,Assumptions!$A$23:$A$25,0))</f>
        <v>4320</v>
      </c>
      <c r="O13" s="12" t="n">
        <f aca="false">J13*INDEX(Assumptions!$H$23:$H$25,MATCH(K13,Assumptions!$A$23:$A$25,0))</f>
        <v>2246400</v>
      </c>
      <c r="P13" s="12" t="n">
        <f aca="false">J13*INDEX(Assumptions!$M$23:$M$25,MATCH(K13,Assumptions!$A$23:$A$25,0))</f>
        <v>2799506.01470588</v>
      </c>
      <c r="Q13" s="12" t="n">
        <f aca="false">J13*INDEX(Assumptions!$N$23:$N$25,MATCH(K13,Assumptions!$A$23:$A$25,0))</f>
        <v>549901.202941177</v>
      </c>
      <c r="R13" s="6" t="s">
        <v>177</v>
      </c>
      <c r="S13" s="6"/>
      <c r="T13" s="29" t="s">
        <v>178</v>
      </c>
    </row>
    <row r="14" customFormat="false" ht="15" hidden="false" customHeight="false" outlineLevel="0" collapsed="false">
      <c r="A14" s="10" t="n">
        <v>10</v>
      </c>
      <c r="B14" s="13" t="s">
        <v>179</v>
      </c>
      <c r="C14" s="8" t="s">
        <v>34</v>
      </c>
      <c r="D14" s="8" t="s">
        <v>180</v>
      </c>
      <c r="E14" s="8" t="s">
        <v>47</v>
      </c>
      <c r="F14" s="27" t="n">
        <v>1</v>
      </c>
      <c r="G14" s="28" t="n">
        <f aca="false">INDEX(Rollout!$C$7:$C$9,F14)</f>
        <v>2027</v>
      </c>
      <c r="H14" s="23" t="s">
        <v>172</v>
      </c>
      <c r="I14" s="27" t="n">
        <v>10</v>
      </c>
      <c r="J14" s="27" t="n">
        <v>2</v>
      </c>
      <c r="K14" s="23" t="s">
        <v>18</v>
      </c>
      <c r="L14" s="18" t="str">
        <f aca="false">INDEX(Assumptions!$B$23:$B$25,MATCH(K14,Assumptions!$A$23:$A$25,0))</f>
        <v>Golfzon TwoVision NX</v>
      </c>
      <c r="M14" s="11" t="n">
        <f aca="false">J14*INDEX(Assumptions!$D$23:$D$25,MATCH(K14,Assumptions!$A$23:$A$25,0))</f>
        <v>2886000</v>
      </c>
      <c r="N14" s="10" t="n">
        <f aca="false">J14*INDEX(Assumptions!$G$23:$G$25,MATCH(K14,Assumptions!$A$23:$A$25,0))</f>
        <v>4320</v>
      </c>
      <c r="O14" s="12" t="n">
        <f aca="false">J14*INDEX(Assumptions!$H$23:$H$25,MATCH(K14,Assumptions!$A$23:$A$25,0))</f>
        <v>2246400</v>
      </c>
      <c r="P14" s="12" t="n">
        <f aca="false">J14*INDEX(Assumptions!$M$23:$M$25,MATCH(K14,Assumptions!$A$23:$A$25,0))</f>
        <v>2799506.01470588</v>
      </c>
      <c r="Q14" s="12" t="n">
        <f aca="false">J14*INDEX(Assumptions!$N$23:$N$25,MATCH(K14,Assumptions!$A$23:$A$25,0))</f>
        <v>549901.202941177</v>
      </c>
      <c r="R14" s="6" t="s">
        <v>181</v>
      </c>
      <c r="S14" s="6"/>
      <c r="T14" s="29" t="s">
        <v>182</v>
      </c>
    </row>
    <row r="15" customFormat="false" ht="23.85" hidden="false" customHeight="false" outlineLevel="0" collapsed="false">
      <c r="A15" s="10" t="n">
        <v>11</v>
      </c>
      <c r="B15" s="13" t="s">
        <v>183</v>
      </c>
      <c r="C15" s="8" t="s">
        <v>35</v>
      </c>
      <c r="D15" s="8" t="s">
        <v>184</v>
      </c>
      <c r="E15" s="8" t="s">
        <v>148</v>
      </c>
      <c r="F15" s="27" t="n">
        <v>1</v>
      </c>
      <c r="G15" s="28" t="n">
        <f aca="false">INDEX(Rollout!$C$7:$C$9,F15)</f>
        <v>2027</v>
      </c>
      <c r="H15" s="23" t="s">
        <v>172</v>
      </c>
      <c r="I15" s="27" t="n">
        <v>11</v>
      </c>
      <c r="J15" s="27" t="n">
        <v>2</v>
      </c>
      <c r="K15" s="23" t="s">
        <v>18</v>
      </c>
      <c r="L15" s="18" t="str">
        <f aca="false">INDEX(Assumptions!$B$23:$B$25,MATCH(K15,Assumptions!$A$23:$A$25,0))</f>
        <v>Golfzon TwoVision NX</v>
      </c>
      <c r="M15" s="11" t="n">
        <f aca="false">J15*INDEX(Assumptions!$D$23:$D$25,MATCH(K15,Assumptions!$A$23:$A$25,0))</f>
        <v>2886000</v>
      </c>
      <c r="N15" s="10" t="n">
        <f aca="false">J15*INDEX(Assumptions!$G$23:$G$25,MATCH(K15,Assumptions!$A$23:$A$25,0))</f>
        <v>4320</v>
      </c>
      <c r="O15" s="12" t="n">
        <f aca="false">J15*INDEX(Assumptions!$H$23:$H$25,MATCH(K15,Assumptions!$A$23:$A$25,0))</f>
        <v>2246400</v>
      </c>
      <c r="P15" s="12" t="n">
        <f aca="false">J15*INDEX(Assumptions!$M$23:$M$25,MATCH(K15,Assumptions!$A$23:$A$25,0))</f>
        <v>2799506.01470588</v>
      </c>
      <c r="Q15" s="12" t="n">
        <f aca="false">J15*INDEX(Assumptions!$N$23:$N$25,MATCH(K15,Assumptions!$A$23:$A$25,0))</f>
        <v>549901.202941177</v>
      </c>
      <c r="R15" s="6" t="s">
        <v>185</v>
      </c>
      <c r="S15" s="6"/>
      <c r="T15" s="29" t="s">
        <v>186</v>
      </c>
    </row>
    <row r="16" customFormat="false" ht="23.85" hidden="false" customHeight="false" outlineLevel="0" collapsed="false">
      <c r="A16" s="10" t="n">
        <v>12</v>
      </c>
      <c r="B16" s="13" t="s">
        <v>187</v>
      </c>
      <c r="C16" s="8" t="s">
        <v>35</v>
      </c>
      <c r="D16" s="8" t="s">
        <v>188</v>
      </c>
      <c r="E16" s="8" t="s">
        <v>148</v>
      </c>
      <c r="F16" s="27" t="n">
        <v>1</v>
      </c>
      <c r="G16" s="28" t="n">
        <f aca="false">INDEX(Rollout!$C$7:$C$9,F16)</f>
        <v>2027</v>
      </c>
      <c r="H16" s="23" t="s">
        <v>172</v>
      </c>
      <c r="I16" s="27" t="n">
        <v>12</v>
      </c>
      <c r="J16" s="27" t="n">
        <v>2</v>
      </c>
      <c r="K16" s="23" t="s">
        <v>18</v>
      </c>
      <c r="L16" s="18" t="str">
        <f aca="false">INDEX(Assumptions!$B$23:$B$25,MATCH(K16,Assumptions!$A$23:$A$25,0))</f>
        <v>Golfzon TwoVision NX</v>
      </c>
      <c r="M16" s="11" t="n">
        <f aca="false">J16*INDEX(Assumptions!$D$23:$D$25,MATCH(K16,Assumptions!$A$23:$A$25,0))</f>
        <v>2886000</v>
      </c>
      <c r="N16" s="10" t="n">
        <f aca="false">J16*INDEX(Assumptions!$G$23:$G$25,MATCH(K16,Assumptions!$A$23:$A$25,0))</f>
        <v>4320</v>
      </c>
      <c r="O16" s="12" t="n">
        <f aca="false">J16*INDEX(Assumptions!$H$23:$H$25,MATCH(K16,Assumptions!$A$23:$A$25,0))</f>
        <v>2246400</v>
      </c>
      <c r="P16" s="12" t="n">
        <f aca="false">J16*INDEX(Assumptions!$M$23:$M$25,MATCH(K16,Assumptions!$A$23:$A$25,0))</f>
        <v>2799506.01470588</v>
      </c>
      <c r="Q16" s="12" t="n">
        <f aca="false">J16*INDEX(Assumptions!$N$23:$N$25,MATCH(K16,Assumptions!$A$23:$A$25,0))</f>
        <v>549901.202941177</v>
      </c>
      <c r="R16" s="6" t="s">
        <v>189</v>
      </c>
      <c r="S16" s="6" t="s">
        <v>190</v>
      </c>
      <c r="T16" s="29" t="s">
        <v>191</v>
      </c>
    </row>
    <row r="17" customFormat="false" ht="15" hidden="false" customHeight="false" outlineLevel="0" collapsed="false">
      <c r="A17" s="10" t="n">
        <v>13</v>
      </c>
      <c r="B17" s="13" t="s">
        <v>192</v>
      </c>
      <c r="C17" s="8" t="s">
        <v>35</v>
      </c>
      <c r="D17" s="8" t="s">
        <v>193</v>
      </c>
      <c r="E17" s="8" t="s">
        <v>47</v>
      </c>
      <c r="F17" s="27" t="n">
        <v>1</v>
      </c>
      <c r="G17" s="28" t="n">
        <f aca="false">INDEX(Rollout!$C$7:$C$9,F17)</f>
        <v>2027</v>
      </c>
      <c r="H17" s="23" t="s">
        <v>172</v>
      </c>
      <c r="I17" s="27" t="n">
        <v>13</v>
      </c>
      <c r="J17" s="27" t="n">
        <v>2</v>
      </c>
      <c r="K17" s="23" t="s">
        <v>18</v>
      </c>
      <c r="L17" s="18" t="str">
        <f aca="false">INDEX(Assumptions!$B$23:$B$25,MATCH(K17,Assumptions!$A$23:$A$25,0))</f>
        <v>Golfzon TwoVision NX</v>
      </c>
      <c r="M17" s="11" t="n">
        <f aca="false">J17*INDEX(Assumptions!$D$23:$D$25,MATCH(K17,Assumptions!$A$23:$A$25,0))</f>
        <v>2886000</v>
      </c>
      <c r="N17" s="10" t="n">
        <f aca="false">J17*INDEX(Assumptions!$G$23:$G$25,MATCH(K17,Assumptions!$A$23:$A$25,0))</f>
        <v>4320</v>
      </c>
      <c r="O17" s="12" t="n">
        <f aca="false">J17*INDEX(Assumptions!$H$23:$H$25,MATCH(K17,Assumptions!$A$23:$A$25,0))</f>
        <v>2246400</v>
      </c>
      <c r="P17" s="12" t="n">
        <f aca="false">J17*INDEX(Assumptions!$M$23:$M$25,MATCH(K17,Assumptions!$A$23:$A$25,0))</f>
        <v>2799506.01470588</v>
      </c>
      <c r="Q17" s="12" t="n">
        <f aca="false">J17*INDEX(Assumptions!$N$23:$N$25,MATCH(K17,Assumptions!$A$23:$A$25,0))</f>
        <v>549901.202941177</v>
      </c>
      <c r="R17" s="6" t="s">
        <v>194</v>
      </c>
      <c r="S17" s="6"/>
      <c r="T17" s="29" t="s">
        <v>195</v>
      </c>
    </row>
    <row r="18" customFormat="false" ht="15" hidden="false" customHeight="false" outlineLevel="0" collapsed="false">
      <c r="A18" s="10" t="n">
        <v>14</v>
      </c>
      <c r="B18" s="13" t="s">
        <v>196</v>
      </c>
      <c r="C18" s="8" t="s">
        <v>35</v>
      </c>
      <c r="D18" s="8" t="s">
        <v>193</v>
      </c>
      <c r="E18" s="8" t="s">
        <v>47</v>
      </c>
      <c r="F18" s="27" t="n">
        <v>1</v>
      </c>
      <c r="G18" s="28" t="n">
        <f aca="false">INDEX(Rollout!$C$7:$C$9,F18)</f>
        <v>2027</v>
      </c>
      <c r="H18" s="23" t="s">
        <v>172</v>
      </c>
      <c r="I18" s="27" t="n">
        <v>14</v>
      </c>
      <c r="J18" s="27" t="n">
        <v>2</v>
      </c>
      <c r="K18" s="23" t="s">
        <v>18</v>
      </c>
      <c r="L18" s="18" t="str">
        <f aca="false">INDEX(Assumptions!$B$23:$B$25,MATCH(K18,Assumptions!$A$23:$A$25,0))</f>
        <v>Golfzon TwoVision NX</v>
      </c>
      <c r="M18" s="11" t="n">
        <f aca="false">J18*INDEX(Assumptions!$D$23:$D$25,MATCH(K18,Assumptions!$A$23:$A$25,0))</f>
        <v>2886000</v>
      </c>
      <c r="N18" s="10" t="n">
        <f aca="false">J18*INDEX(Assumptions!$G$23:$G$25,MATCH(K18,Assumptions!$A$23:$A$25,0))</f>
        <v>4320</v>
      </c>
      <c r="O18" s="12" t="n">
        <f aca="false">J18*INDEX(Assumptions!$H$23:$H$25,MATCH(K18,Assumptions!$A$23:$A$25,0))</f>
        <v>2246400</v>
      </c>
      <c r="P18" s="12" t="n">
        <f aca="false">J18*INDEX(Assumptions!$M$23:$M$25,MATCH(K18,Assumptions!$A$23:$A$25,0))</f>
        <v>2799506.01470588</v>
      </c>
      <c r="Q18" s="12" t="n">
        <f aca="false">J18*INDEX(Assumptions!$N$23:$N$25,MATCH(K18,Assumptions!$A$23:$A$25,0))</f>
        <v>549901.202941177</v>
      </c>
      <c r="R18" s="6" t="s">
        <v>194</v>
      </c>
      <c r="S18" s="6"/>
      <c r="T18" s="29" t="s">
        <v>197</v>
      </c>
    </row>
    <row r="19" customFormat="false" ht="15" hidden="false" customHeight="false" outlineLevel="0" collapsed="false">
      <c r="A19" s="10" t="n">
        <v>15</v>
      </c>
      <c r="B19" s="13" t="s">
        <v>198</v>
      </c>
      <c r="C19" s="8" t="s">
        <v>35</v>
      </c>
      <c r="D19" s="8" t="s">
        <v>198</v>
      </c>
      <c r="E19" s="8" t="s">
        <v>47</v>
      </c>
      <c r="F19" s="27" t="n">
        <v>1</v>
      </c>
      <c r="G19" s="28" t="n">
        <f aca="false">INDEX(Rollout!$C$7:$C$9,F19)</f>
        <v>2027</v>
      </c>
      <c r="H19" s="23" t="s">
        <v>172</v>
      </c>
      <c r="I19" s="27" t="n">
        <v>15</v>
      </c>
      <c r="J19" s="27" t="n">
        <v>2</v>
      </c>
      <c r="K19" s="23" t="s">
        <v>18</v>
      </c>
      <c r="L19" s="18" t="str">
        <f aca="false">INDEX(Assumptions!$B$23:$B$25,MATCH(K19,Assumptions!$A$23:$A$25,0))</f>
        <v>Golfzon TwoVision NX</v>
      </c>
      <c r="M19" s="11" t="n">
        <f aca="false">J19*INDEX(Assumptions!$D$23:$D$25,MATCH(K19,Assumptions!$A$23:$A$25,0))</f>
        <v>2886000</v>
      </c>
      <c r="N19" s="10" t="n">
        <f aca="false">J19*INDEX(Assumptions!$G$23:$G$25,MATCH(K19,Assumptions!$A$23:$A$25,0))</f>
        <v>4320</v>
      </c>
      <c r="O19" s="12" t="n">
        <f aca="false">J19*INDEX(Assumptions!$H$23:$H$25,MATCH(K19,Assumptions!$A$23:$A$25,0))</f>
        <v>2246400</v>
      </c>
      <c r="P19" s="12" t="n">
        <f aca="false">J19*INDEX(Assumptions!$M$23:$M$25,MATCH(K19,Assumptions!$A$23:$A$25,0))</f>
        <v>2799506.01470588</v>
      </c>
      <c r="Q19" s="12" t="n">
        <f aca="false">J19*INDEX(Assumptions!$N$23:$N$25,MATCH(K19,Assumptions!$A$23:$A$25,0))</f>
        <v>549901.202941177</v>
      </c>
      <c r="R19" s="6" t="s">
        <v>199</v>
      </c>
      <c r="S19" s="6"/>
      <c r="T19" s="29" t="s">
        <v>200</v>
      </c>
    </row>
    <row r="20" customFormat="false" ht="15" hidden="false" customHeight="false" outlineLevel="0" collapsed="false">
      <c r="A20" s="10" t="n">
        <v>16</v>
      </c>
      <c r="B20" s="13" t="s">
        <v>201</v>
      </c>
      <c r="C20" s="8" t="s">
        <v>35</v>
      </c>
      <c r="D20" s="8" t="s">
        <v>202</v>
      </c>
      <c r="E20" s="8" t="s">
        <v>47</v>
      </c>
      <c r="F20" s="27" t="n">
        <v>1</v>
      </c>
      <c r="G20" s="28" t="n">
        <f aca="false">INDEX(Rollout!$C$7:$C$9,F20)</f>
        <v>2027</v>
      </c>
      <c r="H20" s="23" t="s">
        <v>172</v>
      </c>
      <c r="I20" s="27" t="n">
        <v>16</v>
      </c>
      <c r="J20" s="27" t="n">
        <v>2</v>
      </c>
      <c r="K20" s="23" t="s">
        <v>18</v>
      </c>
      <c r="L20" s="18" t="str">
        <f aca="false">INDEX(Assumptions!$B$23:$B$25,MATCH(K20,Assumptions!$A$23:$A$25,0))</f>
        <v>Golfzon TwoVision NX</v>
      </c>
      <c r="M20" s="11" t="n">
        <f aca="false">J20*INDEX(Assumptions!$D$23:$D$25,MATCH(K20,Assumptions!$A$23:$A$25,0))</f>
        <v>2886000</v>
      </c>
      <c r="N20" s="10" t="n">
        <f aca="false">J20*INDEX(Assumptions!$G$23:$G$25,MATCH(K20,Assumptions!$A$23:$A$25,0))</f>
        <v>4320</v>
      </c>
      <c r="O20" s="12" t="n">
        <f aca="false">J20*INDEX(Assumptions!$H$23:$H$25,MATCH(K20,Assumptions!$A$23:$A$25,0))</f>
        <v>2246400</v>
      </c>
      <c r="P20" s="12" t="n">
        <f aca="false">J20*INDEX(Assumptions!$M$23:$M$25,MATCH(K20,Assumptions!$A$23:$A$25,0))</f>
        <v>2799506.01470588</v>
      </c>
      <c r="Q20" s="12" t="n">
        <f aca="false">J20*INDEX(Assumptions!$N$23:$N$25,MATCH(K20,Assumptions!$A$23:$A$25,0))</f>
        <v>549901.202941177</v>
      </c>
      <c r="R20" s="6" t="s">
        <v>203</v>
      </c>
      <c r="S20" s="6"/>
      <c r="T20" s="29" t="s">
        <v>204</v>
      </c>
    </row>
    <row r="21" customFormat="false" ht="15" hidden="false" customHeight="false" outlineLevel="0" collapsed="false">
      <c r="A21" s="10" t="n">
        <v>17</v>
      </c>
      <c r="B21" s="13" t="s">
        <v>205</v>
      </c>
      <c r="C21" s="8" t="s">
        <v>36</v>
      </c>
      <c r="D21" s="8" t="s">
        <v>206</v>
      </c>
      <c r="E21" s="8" t="s">
        <v>148</v>
      </c>
      <c r="F21" s="27" t="n">
        <v>1</v>
      </c>
      <c r="G21" s="28" t="n">
        <f aca="false">INDEX(Rollout!$C$7:$C$9,F21)</f>
        <v>2027</v>
      </c>
      <c r="H21" s="23" t="s">
        <v>172</v>
      </c>
      <c r="I21" s="27" t="n">
        <v>17</v>
      </c>
      <c r="J21" s="27" t="n">
        <v>2</v>
      </c>
      <c r="K21" s="23" t="s">
        <v>18</v>
      </c>
      <c r="L21" s="18" t="str">
        <f aca="false">INDEX(Assumptions!$B$23:$B$25,MATCH(K21,Assumptions!$A$23:$A$25,0))</f>
        <v>Golfzon TwoVision NX</v>
      </c>
      <c r="M21" s="11" t="n">
        <f aca="false">J21*INDEX(Assumptions!$D$23:$D$25,MATCH(K21,Assumptions!$A$23:$A$25,0))</f>
        <v>2886000</v>
      </c>
      <c r="N21" s="10" t="n">
        <f aca="false">J21*INDEX(Assumptions!$G$23:$G$25,MATCH(K21,Assumptions!$A$23:$A$25,0))</f>
        <v>4320</v>
      </c>
      <c r="O21" s="12" t="n">
        <f aca="false">J21*INDEX(Assumptions!$H$23:$H$25,MATCH(K21,Assumptions!$A$23:$A$25,0))</f>
        <v>2246400</v>
      </c>
      <c r="P21" s="12" t="n">
        <f aca="false">J21*INDEX(Assumptions!$M$23:$M$25,MATCH(K21,Assumptions!$A$23:$A$25,0))</f>
        <v>2799506.01470588</v>
      </c>
      <c r="Q21" s="12" t="n">
        <f aca="false">J21*INDEX(Assumptions!$N$23:$N$25,MATCH(K21,Assumptions!$A$23:$A$25,0))</f>
        <v>549901.202941177</v>
      </c>
      <c r="R21" s="6" t="s">
        <v>207</v>
      </c>
      <c r="S21" s="6"/>
      <c r="T21" s="29" t="s">
        <v>208</v>
      </c>
    </row>
    <row r="22" customFormat="false" ht="15" hidden="false" customHeight="false" outlineLevel="0" collapsed="false">
      <c r="A22" s="10" t="n">
        <v>18</v>
      </c>
      <c r="B22" s="13" t="s">
        <v>209</v>
      </c>
      <c r="C22" s="8" t="s">
        <v>36</v>
      </c>
      <c r="D22" s="8" t="s">
        <v>210</v>
      </c>
      <c r="E22" s="8" t="s">
        <v>47</v>
      </c>
      <c r="F22" s="27" t="n">
        <v>1</v>
      </c>
      <c r="G22" s="28" t="n">
        <f aca="false">INDEX(Rollout!$C$7:$C$9,F22)</f>
        <v>2027</v>
      </c>
      <c r="H22" s="23" t="s">
        <v>172</v>
      </c>
      <c r="I22" s="27" t="n">
        <v>18</v>
      </c>
      <c r="J22" s="27" t="n">
        <v>2</v>
      </c>
      <c r="K22" s="23" t="s">
        <v>18</v>
      </c>
      <c r="L22" s="18" t="str">
        <f aca="false">INDEX(Assumptions!$B$23:$B$25,MATCH(K22,Assumptions!$A$23:$A$25,0))</f>
        <v>Golfzon TwoVision NX</v>
      </c>
      <c r="M22" s="11" t="n">
        <f aca="false">J22*INDEX(Assumptions!$D$23:$D$25,MATCH(K22,Assumptions!$A$23:$A$25,0))</f>
        <v>2886000</v>
      </c>
      <c r="N22" s="10" t="n">
        <f aca="false">J22*INDEX(Assumptions!$G$23:$G$25,MATCH(K22,Assumptions!$A$23:$A$25,0))</f>
        <v>4320</v>
      </c>
      <c r="O22" s="12" t="n">
        <f aca="false">J22*INDEX(Assumptions!$H$23:$H$25,MATCH(K22,Assumptions!$A$23:$A$25,0))</f>
        <v>2246400</v>
      </c>
      <c r="P22" s="12" t="n">
        <f aca="false">J22*INDEX(Assumptions!$M$23:$M$25,MATCH(K22,Assumptions!$A$23:$A$25,0))</f>
        <v>2799506.01470588</v>
      </c>
      <c r="Q22" s="12" t="n">
        <f aca="false">J22*INDEX(Assumptions!$N$23:$N$25,MATCH(K22,Assumptions!$A$23:$A$25,0))</f>
        <v>549901.202941177</v>
      </c>
      <c r="R22" s="6" t="s">
        <v>211</v>
      </c>
      <c r="S22" s="6"/>
      <c r="T22" s="29" t="s">
        <v>212</v>
      </c>
    </row>
    <row r="23" customFormat="false" ht="15" hidden="false" customHeight="false" outlineLevel="0" collapsed="false">
      <c r="A23" s="10" t="n">
        <v>19</v>
      </c>
      <c r="B23" s="13" t="s">
        <v>213</v>
      </c>
      <c r="C23" s="8" t="s">
        <v>36</v>
      </c>
      <c r="D23" s="8" t="s">
        <v>210</v>
      </c>
      <c r="E23" s="8" t="s">
        <v>47</v>
      </c>
      <c r="F23" s="27" t="n">
        <v>1</v>
      </c>
      <c r="G23" s="28" t="n">
        <f aca="false">INDEX(Rollout!$C$7:$C$9,F23)</f>
        <v>2027</v>
      </c>
      <c r="H23" s="23" t="s">
        <v>172</v>
      </c>
      <c r="I23" s="27" t="n">
        <v>19</v>
      </c>
      <c r="J23" s="27" t="n">
        <v>2</v>
      </c>
      <c r="K23" s="23" t="s">
        <v>18</v>
      </c>
      <c r="L23" s="18" t="str">
        <f aca="false">INDEX(Assumptions!$B$23:$B$25,MATCH(K23,Assumptions!$A$23:$A$25,0))</f>
        <v>Golfzon TwoVision NX</v>
      </c>
      <c r="M23" s="11" t="n">
        <f aca="false">J23*INDEX(Assumptions!$D$23:$D$25,MATCH(K23,Assumptions!$A$23:$A$25,0))</f>
        <v>2886000</v>
      </c>
      <c r="N23" s="10" t="n">
        <f aca="false">J23*INDEX(Assumptions!$G$23:$G$25,MATCH(K23,Assumptions!$A$23:$A$25,0))</f>
        <v>4320</v>
      </c>
      <c r="O23" s="12" t="n">
        <f aca="false">J23*INDEX(Assumptions!$H$23:$H$25,MATCH(K23,Assumptions!$A$23:$A$25,0))</f>
        <v>2246400</v>
      </c>
      <c r="P23" s="12" t="n">
        <f aca="false">J23*INDEX(Assumptions!$M$23:$M$25,MATCH(K23,Assumptions!$A$23:$A$25,0))</f>
        <v>2799506.01470588</v>
      </c>
      <c r="Q23" s="12" t="n">
        <f aca="false">J23*INDEX(Assumptions!$N$23:$N$25,MATCH(K23,Assumptions!$A$23:$A$25,0))</f>
        <v>549901.202941177</v>
      </c>
      <c r="R23" s="6" t="s">
        <v>211</v>
      </c>
      <c r="S23" s="6"/>
      <c r="T23" s="29" t="s">
        <v>214</v>
      </c>
    </row>
    <row r="24" customFormat="false" ht="15" hidden="false" customHeight="false" outlineLevel="0" collapsed="false">
      <c r="A24" s="10" t="n">
        <v>20</v>
      </c>
      <c r="B24" s="13" t="s">
        <v>215</v>
      </c>
      <c r="C24" s="8" t="s">
        <v>36</v>
      </c>
      <c r="D24" s="8" t="s">
        <v>216</v>
      </c>
      <c r="E24" s="8" t="s">
        <v>47</v>
      </c>
      <c r="F24" s="27" t="n">
        <v>1</v>
      </c>
      <c r="G24" s="28" t="n">
        <f aca="false">INDEX(Rollout!$C$7:$C$9,F24)</f>
        <v>2027</v>
      </c>
      <c r="H24" s="23" t="s">
        <v>172</v>
      </c>
      <c r="I24" s="27" t="n">
        <v>20</v>
      </c>
      <c r="J24" s="27" t="n">
        <v>2</v>
      </c>
      <c r="K24" s="23" t="s">
        <v>18</v>
      </c>
      <c r="L24" s="18" t="str">
        <f aca="false">INDEX(Assumptions!$B$23:$B$25,MATCH(K24,Assumptions!$A$23:$A$25,0))</f>
        <v>Golfzon TwoVision NX</v>
      </c>
      <c r="M24" s="11" t="n">
        <f aca="false">J24*INDEX(Assumptions!$D$23:$D$25,MATCH(K24,Assumptions!$A$23:$A$25,0))</f>
        <v>2886000</v>
      </c>
      <c r="N24" s="10" t="n">
        <f aca="false">J24*INDEX(Assumptions!$G$23:$G$25,MATCH(K24,Assumptions!$A$23:$A$25,0))</f>
        <v>4320</v>
      </c>
      <c r="O24" s="12" t="n">
        <f aca="false">J24*INDEX(Assumptions!$H$23:$H$25,MATCH(K24,Assumptions!$A$23:$A$25,0))</f>
        <v>2246400</v>
      </c>
      <c r="P24" s="12" t="n">
        <f aca="false">J24*INDEX(Assumptions!$M$23:$M$25,MATCH(K24,Assumptions!$A$23:$A$25,0))</f>
        <v>2799506.01470588</v>
      </c>
      <c r="Q24" s="12" t="n">
        <f aca="false">J24*INDEX(Assumptions!$N$23:$N$25,MATCH(K24,Assumptions!$A$23:$A$25,0))</f>
        <v>549901.202941177</v>
      </c>
      <c r="R24" s="6" t="s">
        <v>217</v>
      </c>
      <c r="S24" s="6"/>
      <c r="T24" s="29" t="s">
        <v>218</v>
      </c>
    </row>
    <row r="25" customFormat="false" ht="15" hidden="false" customHeight="false" outlineLevel="0" collapsed="false">
      <c r="A25" s="10" t="n">
        <v>21</v>
      </c>
      <c r="B25" s="13" t="s">
        <v>219</v>
      </c>
      <c r="C25" s="8" t="s">
        <v>34</v>
      </c>
      <c r="D25" s="8" t="s">
        <v>147</v>
      </c>
      <c r="E25" s="8" t="s">
        <v>47</v>
      </c>
      <c r="F25" s="27" t="n">
        <v>2</v>
      </c>
      <c r="G25" s="28" t="n">
        <f aca="false">INDEX(Rollout!$C$7:$C$9,F25)</f>
        <v>2028</v>
      </c>
      <c r="H25" s="23" t="s">
        <v>220</v>
      </c>
      <c r="I25" s="27" t="n">
        <v>1</v>
      </c>
      <c r="J25" s="27" t="n">
        <v>2</v>
      </c>
      <c r="K25" s="23" t="s">
        <v>20</v>
      </c>
      <c r="L25" s="18" t="str">
        <f aca="false">INDEX(Assumptions!$B$23:$B$25,MATCH(K25,Assumptions!$A$23:$A$25,0))</f>
        <v>Golfzon Vision Standard</v>
      </c>
      <c r="M25" s="11" t="n">
        <f aca="false">J25*INDEX(Assumptions!$D$23:$D$25,MATCH(K25,Assumptions!$A$23:$A$25,0))</f>
        <v>1683500</v>
      </c>
      <c r="N25" s="10" t="n">
        <f aca="false">J25*INDEX(Assumptions!$G$23:$G$25,MATCH(K25,Assumptions!$A$23:$A$25,0))</f>
        <v>3564</v>
      </c>
      <c r="O25" s="12" t="n">
        <f aca="false">J25*INDEX(Assumptions!$H$23:$H$25,MATCH(K25,Assumptions!$A$23:$A$25,0))</f>
        <v>1283040</v>
      </c>
      <c r="P25" s="12" t="n">
        <f aca="false">J25*INDEX(Assumptions!$M$23:$M$25,MATCH(K25,Assumptions!$A$23:$A$25,0))</f>
        <v>1818191.01470588</v>
      </c>
      <c r="Q25" s="12" t="n">
        <f aca="false">J25*INDEX(Assumptions!$N$23:$N$25,MATCH(K25,Assumptions!$A$23:$A$25,0))</f>
        <v>353638.202941177</v>
      </c>
      <c r="R25" s="6" t="s">
        <v>221</v>
      </c>
      <c r="S25" s="6"/>
      <c r="T25" s="29" t="s">
        <v>222</v>
      </c>
    </row>
    <row r="26" customFormat="false" ht="15" hidden="false" customHeight="false" outlineLevel="0" collapsed="false">
      <c r="A26" s="10" t="n">
        <v>22</v>
      </c>
      <c r="B26" s="13" t="s">
        <v>223</v>
      </c>
      <c r="C26" s="8" t="s">
        <v>34</v>
      </c>
      <c r="D26" s="8" t="s">
        <v>147</v>
      </c>
      <c r="E26" s="8" t="s">
        <v>47</v>
      </c>
      <c r="F26" s="27" t="n">
        <v>2</v>
      </c>
      <c r="G26" s="28" t="n">
        <f aca="false">INDEX(Rollout!$C$7:$C$9,F26)</f>
        <v>2028</v>
      </c>
      <c r="H26" s="23" t="s">
        <v>220</v>
      </c>
      <c r="I26" s="27" t="n">
        <v>2</v>
      </c>
      <c r="J26" s="27" t="n">
        <v>2</v>
      </c>
      <c r="K26" s="23" t="s">
        <v>20</v>
      </c>
      <c r="L26" s="18" t="str">
        <f aca="false">INDEX(Assumptions!$B$23:$B$25,MATCH(K26,Assumptions!$A$23:$A$25,0))</f>
        <v>Golfzon Vision Standard</v>
      </c>
      <c r="M26" s="11" t="n">
        <f aca="false">J26*INDEX(Assumptions!$D$23:$D$25,MATCH(K26,Assumptions!$A$23:$A$25,0))</f>
        <v>1683500</v>
      </c>
      <c r="N26" s="10" t="n">
        <f aca="false">J26*INDEX(Assumptions!$G$23:$G$25,MATCH(K26,Assumptions!$A$23:$A$25,0))</f>
        <v>3564</v>
      </c>
      <c r="O26" s="12" t="n">
        <f aca="false">J26*INDEX(Assumptions!$H$23:$H$25,MATCH(K26,Assumptions!$A$23:$A$25,0))</f>
        <v>1283040</v>
      </c>
      <c r="P26" s="12" t="n">
        <f aca="false">J26*INDEX(Assumptions!$M$23:$M$25,MATCH(K26,Assumptions!$A$23:$A$25,0))</f>
        <v>1818191.01470588</v>
      </c>
      <c r="Q26" s="12" t="n">
        <f aca="false">J26*INDEX(Assumptions!$N$23:$N$25,MATCH(K26,Assumptions!$A$23:$A$25,0))</f>
        <v>353638.202941177</v>
      </c>
      <c r="R26" s="6" t="s">
        <v>221</v>
      </c>
      <c r="S26" s="6"/>
      <c r="T26" s="29" t="s">
        <v>224</v>
      </c>
    </row>
    <row r="27" customFormat="false" ht="15" hidden="false" customHeight="false" outlineLevel="0" collapsed="false">
      <c r="A27" s="10" t="n">
        <v>23</v>
      </c>
      <c r="B27" s="13" t="s">
        <v>225</v>
      </c>
      <c r="C27" s="8" t="s">
        <v>34</v>
      </c>
      <c r="D27" s="8" t="s">
        <v>226</v>
      </c>
      <c r="E27" s="8" t="s">
        <v>47</v>
      </c>
      <c r="F27" s="27" t="n">
        <v>2</v>
      </c>
      <c r="G27" s="28" t="n">
        <f aca="false">INDEX(Rollout!$C$7:$C$9,F27)</f>
        <v>2028</v>
      </c>
      <c r="H27" s="23" t="s">
        <v>220</v>
      </c>
      <c r="I27" s="27" t="n">
        <v>3</v>
      </c>
      <c r="J27" s="27" t="n">
        <v>2</v>
      </c>
      <c r="K27" s="23" t="s">
        <v>20</v>
      </c>
      <c r="L27" s="18" t="str">
        <f aca="false">INDEX(Assumptions!$B$23:$B$25,MATCH(K27,Assumptions!$A$23:$A$25,0))</f>
        <v>Golfzon Vision Standard</v>
      </c>
      <c r="M27" s="11" t="n">
        <f aca="false">J27*INDEX(Assumptions!$D$23:$D$25,MATCH(K27,Assumptions!$A$23:$A$25,0))</f>
        <v>1683500</v>
      </c>
      <c r="N27" s="10" t="n">
        <f aca="false">J27*INDEX(Assumptions!$G$23:$G$25,MATCH(K27,Assumptions!$A$23:$A$25,0))</f>
        <v>3564</v>
      </c>
      <c r="O27" s="12" t="n">
        <f aca="false">J27*INDEX(Assumptions!$H$23:$H$25,MATCH(K27,Assumptions!$A$23:$A$25,0))</f>
        <v>1283040</v>
      </c>
      <c r="P27" s="12" t="n">
        <f aca="false">J27*INDEX(Assumptions!$M$23:$M$25,MATCH(K27,Assumptions!$A$23:$A$25,0))</f>
        <v>1818191.01470588</v>
      </c>
      <c r="Q27" s="12" t="n">
        <f aca="false">J27*INDEX(Assumptions!$N$23:$N$25,MATCH(K27,Assumptions!$A$23:$A$25,0))</f>
        <v>353638.202941177</v>
      </c>
      <c r="R27" s="6" t="s">
        <v>227</v>
      </c>
      <c r="S27" s="6"/>
      <c r="T27" s="29" t="s">
        <v>228</v>
      </c>
    </row>
    <row r="28" customFormat="false" ht="15" hidden="false" customHeight="false" outlineLevel="0" collapsed="false">
      <c r="A28" s="10" t="n">
        <v>24</v>
      </c>
      <c r="B28" s="13" t="s">
        <v>229</v>
      </c>
      <c r="C28" s="8" t="s">
        <v>34</v>
      </c>
      <c r="D28" s="8" t="s">
        <v>230</v>
      </c>
      <c r="E28" s="8" t="s">
        <v>47</v>
      </c>
      <c r="F28" s="27" t="n">
        <v>2</v>
      </c>
      <c r="G28" s="28" t="n">
        <f aca="false">INDEX(Rollout!$C$7:$C$9,F28)</f>
        <v>2028</v>
      </c>
      <c r="H28" s="23" t="s">
        <v>220</v>
      </c>
      <c r="I28" s="27" t="n">
        <v>4</v>
      </c>
      <c r="J28" s="27" t="n">
        <v>2</v>
      </c>
      <c r="K28" s="23" t="s">
        <v>20</v>
      </c>
      <c r="L28" s="18" t="str">
        <f aca="false">INDEX(Assumptions!$B$23:$B$25,MATCH(K28,Assumptions!$A$23:$A$25,0))</f>
        <v>Golfzon Vision Standard</v>
      </c>
      <c r="M28" s="11" t="n">
        <f aca="false">J28*INDEX(Assumptions!$D$23:$D$25,MATCH(K28,Assumptions!$A$23:$A$25,0))</f>
        <v>1683500</v>
      </c>
      <c r="N28" s="10" t="n">
        <f aca="false">J28*INDEX(Assumptions!$G$23:$G$25,MATCH(K28,Assumptions!$A$23:$A$25,0))</f>
        <v>3564</v>
      </c>
      <c r="O28" s="12" t="n">
        <f aca="false">J28*INDEX(Assumptions!$H$23:$H$25,MATCH(K28,Assumptions!$A$23:$A$25,0))</f>
        <v>1283040</v>
      </c>
      <c r="P28" s="12" t="n">
        <f aca="false">J28*INDEX(Assumptions!$M$23:$M$25,MATCH(K28,Assumptions!$A$23:$A$25,0))</f>
        <v>1818191.01470588</v>
      </c>
      <c r="Q28" s="12" t="n">
        <f aca="false">J28*INDEX(Assumptions!$N$23:$N$25,MATCH(K28,Assumptions!$A$23:$A$25,0))</f>
        <v>353638.202941177</v>
      </c>
      <c r="R28" s="6" t="s">
        <v>231</v>
      </c>
      <c r="S28" s="6"/>
      <c r="T28" s="29" t="s">
        <v>232</v>
      </c>
    </row>
    <row r="29" customFormat="false" ht="15" hidden="false" customHeight="false" outlineLevel="0" collapsed="false">
      <c r="A29" s="10" t="n">
        <v>25</v>
      </c>
      <c r="B29" s="13" t="s">
        <v>230</v>
      </c>
      <c r="C29" s="8" t="s">
        <v>34</v>
      </c>
      <c r="D29" s="8" t="s">
        <v>230</v>
      </c>
      <c r="E29" s="8" t="s">
        <v>47</v>
      </c>
      <c r="F29" s="27" t="n">
        <v>2</v>
      </c>
      <c r="G29" s="28" t="n">
        <f aca="false">INDEX(Rollout!$C$7:$C$9,F29)</f>
        <v>2028</v>
      </c>
      <c r="H29" s="23" t="s">
        <v>220</v>
      </c>
      <c r="I29" s="27" t="n">
        <v>5</v>
      </c>
      <c r="J29" s="27" t="n">
        <v>2</v>
      </c>
      <c r="K29" s="23" t="s">
        <v>20</v>
      </c>
      <c r="L29" s="18" t="str">
        <f aca="false">INDEX(Assumptions!$B$23:$B$25,MATCH(K29,Assumptions!$A$23:$A$25,0))</f>
        <v>Golfzon Vision Standard</v>
      </c>
      <c r="M29" s="11" t="n">
        <f aca="false">J29*INDEX(Assumptions!$D$23:$D$25,MATCH(K29,Assumptions!$A$23:$A$25,0))</f>
        <v>1683500</v>
      </c>
      <c r="N29" s="10" t="n">
        <f aca="false">J29*INDEX(Assumptions!$G$23:$G$25,MATCH(K29,Assumptions!$A$23:$A$25,0))</f>
        <v>3564</v>
      </c>
      <c r="O29" s="12" t="n">
        <f aca="false">J29*INDEX(Assumptions!$H$23:$H$25,MATCH(K29,Assumptions!$A$23:$A$25,0))</f>
        <v>1283040</v>
      </c>
      <c r="P29" s="12" t="n">
        <f aca="false">J29*INDEX(Assumptions!$M$23:$M$25,MATCH(K29,Assumptions!$A$23:$A$25,0))</f>
        <v>1818191.01470588</v>
      </c>
      <c r="Q29" s="12" t="n">
        <f aca="false">J29*INDEX(Assumptions!$N$23:$N$25,MATCH(K29,Assumptions!$A$23:$A$25,0))</f>
        <v>353638.202941177</v>
      </c>
      <c r="R29" s="6" t="s">
        <v>231</v>
      </c>
      <c r="S29" s="6"/>
      <c r="T29" s="29" t="s">
        <v>233</v>
      </c>
    </row>
    <row r="30" customFormat="false" ht="15" hidden="false" customHeight="false" outlineLevel="0" collapsed="false">
      <c r="A30" s="10" t="n">
        <v>26</v>
      </c>
      <c r="B30" s="13" t="s">
        <v>234</v>
      </c>
      <c r="C30" s="8" t="s">
        <v>34</v>
      </c>
      <c r="D30" s="8" t="s">
        <v>230</v>
      </c>
      <c r="E30" s="8" t="s">
        <v>47</v>
      </c>
      <c r="F30" s="27" t="n">
        <v>2</v>
      </c>
      <c r="G30" s="28" t="n">
        <f aca="false">INDEX(Rollout!$C$7:$C$9,F30)</f>
        <v>2028</v>
      </c>
      <c r="H30" s="23" t="s">
        <v>220</v>
      </c>
      <c r="I30" s="27" t="n">
        <v>6</v>
      </c>
      <c r="J30" s="27" t="n">
        <v>2</v>
      </c>
      <c r="K30" s="23" t="s">
        <v>20</v>
      </c>
      <c r="L30" s="18" t="str">
        <f aca="false">INDEX(Assumptions!$B$23:$B$25,MATCH(K30,Assumptions!$A$23:$A$25,0))</f>
        <v>Golfzon Vision Standard</v>
      </c>
      <c r="M30" s="11" t="n">
        <f aca="false">J30*INDEX(Assumptions!$D$23:$D$25,MATCH(K30,Assumptions!$A$23:$A$25,0))</f>
        <v>1683500</v>
      </c>
      <c r="N30" s="10" t="n">
        <f aca="false">J30*INDEX(Assumptions!$G$23:$G$25,MATCH(K30,Assumptions!$A$23:$A$25,0))</f>
        <v>3564</v>
      </c>
      <c r="O30" s="12" t="n">
        <f aca="false">J30*INDEX(Assumptions!$H$23:$H$25,MATCH(K30,Assumptions!$A$23:$A$25,0))</f>
        <v>1283040</v>
      </c>
      <c r="P30" s="12" t="n">
        <f aca="false">J30*INDEX(Assumptions!$M$23:$M$25,MATCH(K30,Assumptions!$A$23:$A$25,0))</f>
        <v>1818191.01470588</v>
      </c>
      <c r="Q30" s="12" t="n">
        <f aca="false">J30*INDEX(Assumptions!$N$23:$N$25,MATCH(K30,Assumptions!$A$23:$A$25,0))</f>
        <v>353638.202941177</v>
      </c>
      <c r="R30" s="6" t="s">
        <v>231</v>
      </c>
      <c r="S30" s="6"/>
      <c r="T30" s="29" t="s">
        <v>235</v>
      </c>
    </row>
    <row r="31" customFormat="false" ht="15" hidden="false" customHeight="false" outlineLevel="0" collapsed="false">
      <c r="A31" s="10" t="n">
        <v>27</v>
      </c>
      <c r="B31" s="13" t="s">
        <v>236</v>
      </c>
      <c r="C31" s="8" t="s">
        <v>34</v>
      </c>
      <c r="D31" s="8" t="s">
        <v>230</v>
      </c>
      <c r="E31" s="8" t="s">
        <v>47</v>
      </c>
      <c r="F31" s="27" t="n">
        <v>2</v>
      </c>
      <c r="G31" s="28" t="n">
        <f aca="false">INDEX(Rollout!$C$7:$C$9,F31)</f>
        <v>2028</v>
      </c>
      <c r="H31" s="23" t="s">
        <v>220</v>
      </c>
      <c r="I31" s="27" t="n">
        <v>7</v>
      </c>
      <c r="J31" s="27" t="n">
        <v>2</v>
      </c>
      <c r="K31" s="23" t="s">
        <v>20</v>
      </c>
      <c r="L31" s="18" t="str">
        <f aca="false">INDEX(Assumptions!$B$23:$B$25,MATCH(K31,Assumptions!$A$23:$A$25,0))</f>
        <v>Golfzon Vision Standard</v>
      </c>
      <c r="M31" s="11" t="n">
        <f aca="false">J31*INDEX(Assumptions!$D$23:$D$25,MATCH(K31,Assumptions!$A$23:$A$25,0))</f>
        <v>1683500</v>
      </c>
      <c r="N31" s="10" t="n">
        <f aca="false">J31*INDEX(Assumptions!$G$23:$G$25,MATCH(K31,Assumptions!$A$23:$A$25,0))</f>
        <v>3564</v>
      </c>
      <c r="O31" s="12" t="n">
        <f aca="false">J31*INDEX(Assumptions!$H$23:$H$25,MATCH(K31,Assumptions!$A$23:$A$25,0))</f>
        <v>1283040</v>
      </c>
      <c r="P31" s="12" t="n">
        <f aca="false">J31*INDEX(Assumptions!$M$23:$M$25,MATCH(K31,Assumptions!$A$23:$A$25,0))</f>
        <v>1818191.01470588</v>
      </c>
      <c r="Q31" s="12" t="n">
        <f aca="false">J31*INDEX(Assumptions!$N$23:$N$25,MATCH(K31,Assumptions!$A$23:$A$25,0))</f>
        <v>353638.202941177</v>
      </c>
      <c r="R31" s="6" t="s">
        <v>231</v>
      </c>
      <c r="S31" s="6"/>
      <c r="T31" s="29" t="s">
        <v>237</v>
      </c>
    </row>
    <row r="32" customFormat="false" ht="15" hidden="false" customHeight="false" outlineLevel="0" collapsed="false">
      <c r="A32" s="10" t="n">
        <v>28</v>
      </c>
      <c r="B32" s="13" t="s">
        <v>238</v>
      </c>
      <c r="C32" s="8" t="s">
        <v>34</v>
      </c>
      <c r="D32" s="8" t="s">
        <v>239</v>
      </c>
      <c r="E32" s="8" t="s">
        <v>47</v>
      </c>
      <c r="F32" s="27" t="n">
        <v>2</v>
      </c>
      <c r="G32" s="28" t="n">
        <f aca="false">INDEX(Rollout!$C$7:$C$9,F32)</f>
        <v>2028</v>
      </c>
      <c r="H32" s="23" t="s">
        <v>220</v>
      </c>
      <c r="I32" s="27" t="n">
        <v>8</v>
      </c>
      <c r="J32" s="27" t="n">
        <v>2</v>
      </c>
      <c r="K32" s="23" t="s">
        <v>20</v>
      </c>
      <c r="L32" s="18" t="str">
        <f aca="false">INDEX(Assumptions!$B$23:$B$25,MATCH(K32,Assumptions!$A$23:$A$25,0))</f>
        <v>Golfzon Vision Standard</v>
      </c>
      <c r="M32" s="11" t="n">
        <f aca="false">J32*INDEX(Assumptions!$D$23:$D$25,MATCH(K32,Assumptions!$A$23:$A$25,0))</f>
        <v>1683500</v>
      </c>
      <c r="N32" s="10" t="n">
        <f aca="false">J32*INDEX(Assumptions!$G$23:$G$25,MATCH(K32,Assumptions!$A$23:$A$25,0))</f>
        <v>3564</v>
      </c>
      <c r="O32" s="12" t="n">
        <f aca="false">J32*INDEX(Assumptions!$H$23:$H$25,MATCH(K32,Assumptions!$A$23:$A$25,0))</f>
        <v>1283040</v>
      </c>
      <c r="P32" s="12" t="n">
        <f aca="false">J32*INDEX(Assumptions!$M$23:$M$25,MATCH(K32,Assumptions!$A$23:$A$25,0))</f>
        <v>1818191.01470588</v>
      </c>
      <c r="Q32" s="12" t="n">
        <f aca="false">J32*INDEX(Assumptions!$N$23:$N$25,MATCH(K32,Assumptions!$A$23:$A$25,0))</f>
        <v>353638.202941177</v>
      </c>
      <c r="R32" s="6" t="s">
        <v>240</v>
      </c>
      <c r="S32" s="6"/>
      <c r="T32" s="29" t="s">
        <v>241</v>
      </c>
    </row>
    <row r="33" customFormat="false" ht="15" hidden="false" customHeight="false" outlineLevel="0" collapsed="false">
      <c r="A33" s="10" t="n">
        <v>29</v>
      </c>
      <c r="B33" s="13" t="s">
        <v>242</v>
      </c>
      <c r="C33" s="8" t="s">
        <v>34</v>
      </c>
      <c r="D33" s="8" t="s">
        <v>243</v>
      </c>
      <c r="E33" s="8" t="s">
        <v>47</v>
      </c>
      <c r="F33" s="27" t="n">
        <v>2</v>
      </c>
      <c r="G33" s="28" t="n">
        <f aca="false">INDEX(Rollout!$C$7:$C$9,F33)</f>
        <v>2028</v>
      </c>
      <c r="H33" s="23" t="s">
        <v>220</v>
      </c>
      <c r="I33" s="27" t="n">
        <v>9</v>
      </c>
      <c r="J33" s="27" t="n">
        <v>2</v>
      </c>
      <c r="K33" s="23" t="s">
        <v>20</v>
      </c>
      <c r="L33" s="18" t="str">
        <f aca="false">INDEX(Assumptions!$B$23:$B$25,MATCH(K33,Assumptions!$A$23:$A$25,0))</f>
        <v>Golfzon Vision Standard</v>
      </c>
      <c r="M33" s="11" t="n">
        <f aca="false">J33*INDEX(Assumptions!$D$23:$D$25,MATCH(K33,Assumptions!$A$23:$A$25,0))</f>
        <v>1683500</v>
      </c>
      <c r="N33" s="10" t="n">
        <f aca="false">J33*INDEX(Assumptions!$G$23:$G$25,MATCH(K33,Assumptions!$A$23:$A$25,0))</f>
        <v>3564</v>
      </c>
      <c r="O33" s="12" t="n">
        <f aca="false">J33*INDEX(Assumptions!$H$23:$H$25,MATCH(K33,Assumptions!$A$23:$A$25,0))</f>
        <v>1283040</v>
      </c>
      <c r="P33" s="12" t="n">
        <f aca="false">J33*INDEX(Assumptions!$M$23:$M$25,MATCH(K33,Assumptions!$A$23:$A$25,0))</f>
        <v>1818191.01470588</v>
      </c>
      <c r="Q33" s="12" t="n">
        <f aca="false">J33*INDEX(Assumptions!$N$23:$N$25,MATCH(K33,Assumptions!$A$23:$A$25,0))</f>
        <v>353638.202941177</v>
      </c>
      <c r="R33" s="6" t="s">
        <v>244</v>
      </c>
      <c r="S33" s="6"/>
      <c r="T33" s="29" t="s">
        <v>245</v>
      </c>
    </row>
    <row r="34" customFormat="false" ht="15" hidden="false" customHeight="false" outlineLevel="0" collapsed="false">
      <c r="A34" s="10" t="n">
        <v>30</v>
      </c>
      <c r="B34" s="13" t="s">
        <v>246</v>
      </c>
      <c r="C34" s="8" t="s">
        <v>34</v>
      </c>
      <c r="D34" s="8" t="s">
        <v>180</v>
      </c>
      <c r="E34" s="8" t="s">
        <v>47</v>
      </c>
      <c r="F34" s="27" t="n">
        <v>2</v>
      </c>
      <c r="G34" s="28" t="n">
        <f aca="false">INDEX(Rollout!$C$7:$C$9,F34)</f>
        <v>2028</v>
      </c>
      <c r="H34" s="23" t="s">
        <v>220</v>
      </c>
      <c r="I34" s="27" t="n">
        <v>10</v>
      </c>
      <c r="J34" s="27" t="n">
        <v>2</v>
      </c>
      <c r="K34" s="23" t="s">
        <v>20</v>
      </c>
      <c r="L34" s="18" t="str">
        <f aca="false">INDEX(Assumptions!$B$23:$B$25,MATCH(K34,Assumptions!$A$23:$A$25,0))</f>
        <v>Golfzon Vision Standard</v>
      </c>
      <c r="M34" s="11" t="n">
        <f aca="false">J34*INDEX(Assumptions!$D$23:$D$25,MATCH(K34,Assumptions!$A$23:$A$25,0))</f>
        <v>1683500</v>
      </c>
      <c r="N34" s="10" t="n">
        <f aca="false">J34*INDEX(Assumptions!$G$23:$G$25,MATCH(K34,Assumptions!$A$23:$A$25,0))</f>
        <v>3564</v>
      </c>
      <c r="O34" s="12" t="n">
        <f aca="false">J34*INDEX(Assumptions!$H$23:$H$25,MATCH(K34,Assumptions!$A$23:$A$25,0))</f>
        <v>1283040</v>
      </c>
      <c r="P34" s="12" t="n">
        <f aca="false">J34*INDEX(Assumptions!$M$23:$M$25,MATCH(K34,Assumptions!$A$23:$A$25,0))</f>
        <v>1818191.01470588</v>
      </c>
      <c r="Q34" s="12" t="n">
        <f aca="false">J34*INDEX(Assumptions!$N$23:$N$25,MATCH(K34,Assumptions!$A$23:$A$25,0))</f>
        <v>353638.202941177</v>
      </c>
      <c r="R34" s="6" t="s">
        <v>247</v>
      </c>
      <c r="S34" s="6"/>
      <c r="T34" s="29" t="s">
        <v>248</v>
      </c>
    </row>
    <row r="35" customFormat="false" ht="15" hidden="false" customHeight="false" outlineLevel="0" collapsed="false">
      <c r="A35" s="10" t="n">
        <v>31</v>
      </c>
      <c r="B35" s="13" t="s">
        <v>249</v>
      </c>
      <c r="C35" s="8" t="s">
        <v>34</v>
      </c>
      <c r="D35" s="8" t="s">
        <v>180</v>
      </c>
      <c r="E35" s="8" t="s">
        <v>47</v>
      </c>
      <c r="F35" s="27" t="n">
        <v>2</v>
      </c>
      <c r="G35" s="28" t="n">
        <f aca="false">INDEX(Rollout!$C$7:$C$9,F35)</f>
        <v>2028</v>
      </c>
      <c r="H35" s="23" t="s">
        <v>220</v>
      </c>
      <c r="I35" s="27" t="n">
        <v>11</v>
      </c>
      <c r="J35" s="27" t="n">
        <v>2</v>
      </c>
      <c r="K35" s="23" t="s">
        <v>20</v>
      </c>
      <c r="L35" s="18" t="str">
        <f aca="false">INDEX(Assumptions!$B$23:$B$25,MATCH(K35,Assumptions!$A$23:$A$25,0))</f>
        <v>Golfzon Vision Standard</v>
      </c>
      <c r="M35" s="11" t="n">
        <f aca="false">J35*INDEX(Assumptions!$D$23:$D$25,MATCH(K35,Assumptions!$A$23:$A$25,0))</f>
        <v>1683500</v>
      </c>
      <c r="N35" s="10" t="n">
        <f aca="false">J35*INDEX(Assumptions!$G$23:$G$25,MATCH(K35,Assumptions!$A$23:$A$25,0))</f>
        <v>3564</v>
      </c>
      <c r="O35" s="12" t="n">
        <f aca="false">J35*INDEX(Assumptions!$H$23:$H$25,MATCH(K35,Assumptions!$A$23:$A$25,0))</f>
        <v>1283040</v>
      </c>
      <c r="P35" s="12" t="n">
        <f aca="false">J35*INDEX(Assumptions!$M$23:$M$25,MATCH(K35,Assumptions!$A$23:$A$25,0))</f>
        <v>1818191.01470588</v>
      </c>
      <c r="Q35" s="12" t="n">
        <f aca="false">J35*INDEX(Assumptions!$N$23:$N$25,MATCH(K35,Assumptions!$A$23:$A$25,0))</f>
        <v>353638.202941177</v>
      </c>
      <c r="R35" s="6" t="s">
        <v>247</v>
      </c>
      <c r="S35" s="6"/>
      <c r="T35" s="29" t="s">
        <v>250</v>
      </c>
    </row>
    <row r="36" customFormat="false" ht="15" hidden="false" customHeight="false" outlineLevel="0" collapsed="false">
      <c r="A36" s="10" t="n">
        <v>32</v>
      </c>
      <c r="B36" s="13" t="s">
        <v>251</v>
      </c>
      <c r="C36" s="8" t="s">
        <v>34</v>
      </c>
      <c r="D36" s="8" t="s">
        <v>180</v>
      </c>
      <c r="E36" s="8" t="s">
        <v>47</v>
      </c>
      <c r="F36" s="27" t="n">
        <v>2</v>
      </c>
      <c r="G36" s="28" t="n">
        <f aca="false">INDEX(Rollout!$C$7:$C$9,F36)</f>
        <v>2028</v>
      </c>
      <c r="H36" s="23" t="s">
        <v>220</v>
      </c>
      <c r="I36" s="27" t="n">
        <v>12</v>
      </c>
      <c r="J36" s="27" t="n">
        <v>2</v>
      </c>
      <c r="K36" s="23" t="s">
        <v>20</v>
      </c>
      <c r="L36" s="18" t="str">
        <f aca="false">INDEX(Assumptions!$B$23:$B$25,MATCH(K36,Assumptions!$A$23:$A$25,0))</f>
        <v>Golfzon Vision Standard</v>
      </c>
      <c r="M36" s="11" t="n">
        <f aca="false">J36*INDEX(Assumptions!$D$23:$D$25,MATCH(K36,Assumptions!$A$23:$A$25,0))</f>
        <v>1683500</v>
      </c>
      <c r="N36" s="10" t="n">
        <f aca="false">J36*INDEX(Assumptions!$G$23:$G$25,MATCH(K36,Assumptions!$A$23:$A$25,0))</f>
        <v>3564</v>
      </c>
      <c r="O36" s="12" t="n">
        <f aca="false">J36*INDEX(Assumptions!$H$23:$H$25,MATCH(K36,Assumptions!$A$23:$A$25,0))</f>
        <v>1283040</v>
      </c>
      <c r="P36" s="12" t="n">
        <f aca="false">J36*INDEX(Assumptions!$M$23:$M$25,MATCH(K36,Assumptions!$A$23:$A$25,0))</f>
        <v>1818191.01470588</v>
      </c>
      <c r="Q36" s="12" t="n">
        <f aca="false">J36*INDEX(Assumptions!$N$23:$N$25,MATCH(K36,Assumptions!$A$23:$A$25,0))</f>
        <v>353638.202941177</v>
      </c>
      <c r="R36" s="6" t="s">
        <v>247</v>
      </c>
      <c r="S36" s="6"/>
      <c r="T36" s="29" t="s">
        <v>252</v>
      </c>
    </row>
    <row r="37" customFormat="false" ht="15" hidden="false" customHeight="false" outlineLevel="0" collapsed="false">
      <c r="A37" s="10" t="n">
        <v>33</v>
      </c>
      <c r="B37" s="13" t="s">
        <v>253</v>
      </c>
      <c r="C37" s="8" t="s">
        <v>34</v>
      </c>
      <c r="D37" s="8" t="s">
        <v>163</v>
      </c>
      <c r="E37" s="8" t="s">
        <v>47</v>
      </c>
      <c r="F37" s="27" t="n">
        <v>2</v>
      </c>
      <c r="G37" s="28" t="n">
        <f aca="false">INDEX(Rollout!$C$7:$C$9,F37)</f>
        <v>2028</v>
      </c>
      <c r="H37" s="23" t="s">
        <v>220</v>
      </c>
      <c r="I37" s="27" t="n">
        <v>13</v>
      </c>
      <c r="J37" s="27" t="n">
        <v>2</v>
      </c>
      <c r="K37" s="23" t="s">
        <v>20</v>
      </c>
      <c r="L37" s="18" t="str">
        <f aca="false">INDEX(Assumptions!$B$23:$B$25,MATCH(K37,Assumptions!$A$23:$A$25,0))</f>
        <v>Golfzon Vision Standard</v>
      </c>
      <c r="M37" s="11" t="n">
        <f aca="false">J37*INDEX(Assumptions!$D$23:$D$25,MATCH(K37,Assumptions!$A$23:$A$25,0))</f>
        <v>1683500</v>
      </c>
      <c r="N37" s="10" t="n">
        <f aca="false">J37*INDEX(Assumptions!$G$23:$G$25,MATCH(K37,Assumptions!$A$23:$A$25,0))</f>
        <v>3564</v>
      </c>
      <c r="O37" s="12" t="n">
        <f aca="false">J37*INDEX(Assumptions!$H$23:$H$25,MATCH(K37,Assumptions!$A$23:$A$25,0))</f>
        <v>1283040</v>
      </c>
      <c r="P37" s="12" t="n">
        <f aca="false">J37*INDEX(Assumptions!$M$23:$M$25,MATCH(K37,Assumptions!$A$23:$A$25,0))</f>
        <v>1818191.01470588</v>
      </c>
      <c r="Q37" s="12" t="n">
        <f aca="false">J37*INDEX(Assumptions!$N$23:$N$25,MATCH(K37,Assumptions!$A$23:$A$25,0))</f>
        <v>353638.202941177</v>
      </c>
      <c r="R37" s="6" t="s">
        <v>254</v>
      </c>
      <c r="S37" s="6"/>
      <c r="T37" s="29" t="s">
        <v>255</v>
      </c>
    </row>
    <row r="38" customFormat="false" ht="15" hidden="false" customHeight="false" outlineLevel="0" collapsed="false">
      <c r="A38" s="10" t="n">
        <v>34</v>
      </c>
      <c r="B38" s="13" t="s">
        <v>256</v>
      </c>
      <c r="C38" s="8" t="s">
        <v>34</v>
      </c>
      <c r="D38" s="8" t="s">
        <v>168</v>
      </c>
      <c r="E38" s="8" t="s">
        <v>47</v>
      </c>
      <c r="F38" s="27" t="n">
        <v>2</v>
      </c>
      <c r="G38" s="28" t="n">
        <f aca="false">INDEX(Rollout!$C$7:$C$9,F38)</f>
        <v>2028</v>
      </c>
      <c r="H38" s="23" t="s">
        <v>220</v>
      </c>
      <c r="I38" s="27" t="n">
        <v>14</v>
      </c>
      <c r="J38" s="27" t="n">
        <v>2</v>
      </c>
      <c r="K38" s="23" t="s">
        <v>20</v>
      </c>
      <c r="L38" s="18" t="str">
        <f aca="false">INDEX(Assumptions!$B$23:$B$25,MATCH(K38,Assumptions!$A$23:$A$25,0))</f>
        <v>Golfzon Vision Standard</v>
      </c>
      <c r="M38" s="11" t="n">
        <f aca="false">J38*INDEX(Assumptions!$D$23:$D$25,MATCH(K38,Assumptions!$A$23:$A$25,0))</f>
        <v>1683500</v>
      </c>
      <c r="N38" s="10" t="n">
        <f aca="false">J38*INDEX(Assumptions!$G$23:$G$25,MATCH(K38,Assumptions!$A$23:$A$25,0))</f>
        <v>3564</v>
      </c>
      <c r="O38" s="12" t="n">
        <f aca="false">J38*INDEX(Assumptions!$H$23:$H$25,MATCH(K38,Assumptions!$A$23:$A$25,0))</f>
        <v>1283040</v>
      </c>
      <c r="P38" s="12" t="n">
        <f aca="false">J38*INDEX(Assumptions!$M$23:$M$25,MATCH(K38,Assumptions!$A$23:$A$25,0))</f>
        <v>1818191.01470588</v>
      </c>
      <c r="Q38" s="12" t="n">
        <f aca="false">J38*INDEX(Assumptions!$N$23:$N$25,MATCH(K38,Assumptions!$A$23:$A$25,0))</f>
        <v>353638.202941177</v>
      </c>
      <c r="R38" s="6" t="s">
        <v>257</v>
      </c>
      <c r="S38" s="6"/>
      <c r="T38" s="29" t="s">
        <v>258</v>
      </c>
    </row>
    <row r="39" customFormat="false" ht="15" hidden="false" customHeight="false" outlineLevel="0" collapsed="false">
      <c r="A39" s="10" t="n">
        <v>35</v>
      </c>
      <c r="B39" s="13" t="s">
        <v>259</v>
      </c>
      <c r="C39" s="8" t="s">
        <v>34</v>
      </c>
      <c r="D39" s="8" t="s">
        <v>168</v>
      </c>
      <c r="E39" s="8" t="s">
        <v>47</v>
      </c>
      <c r="F39" s="27" t="n">
        <v>2</v>
      </c>
      <c r="G39" s="28" t="n">
        <f aca="false">INDEX(Rollout!$C$7:$C$9,F39)</f>
        <v>2028</v>
      </c>
      <c r="H39" s="23" t="s">
        <v>220</v>
      </c>
      <c r="I39" s="27" t="n">
        <v>15</v>
      </c>
      <c r="J39" s="27" t="n">
        <v>2</v>
      </c>
      <c r="K39" s="23" t="s">
        <v>20</v>
      </c>
      <c r="L39" s="18" t="str">
        <f aca="false">INDEX(Assumptions!$B$23:$B$25,MATCH(K39,Assumptions!$A$23:$A$25,0))</f>
        <v>Golfzon Vision Standard</v>
      </c>
      <c r="M39" s="11" t="n">
        <f aca="false">J39*INDEX(Assumptions!$D$23:$D$25,MATCH(K39,Assumptions!$A$23:$A$25,0))</f>
        <v>1683500</v>
      </c>
      <c r="N39" s="10" t="n">
        <f aca="false">J39*INDEX(Assumptions!$G$23:$G$25,MATCH(K39,Assumptions!$A$23:$A$25,0))</f>
        <v>3564</v>
      </c>
      <c r="O39" s="12" t="n">
        <f aca="false">J39*INDEX(Assumptions!$H$23:$H$25,MATCH(K39,Assumptions!$A$23:$A$25,0))</f>
        <v>1283040</v>
      </c>
      <c r="P39" s="12" t="n">
        <f aca="false">J39*INDEX(Assumptions!$M$23:$M$25,MATCH(K39,Assumptions!$A$23:$A$25,0))</f>
        <v>1818191.01470588</v>
      </c>
      <c r="Q39" s="12" t="n">
        <f aca="false">J39*INDEX(Assumptions!$N$23:$N$25,MATCH(K39,Assumptions!$A$23:$A$25,0))</f>
        <v>353638.202941177</v>
      </c>
      <c r="R39" s="6" t="s">
        <v>257</v>
      </c>
      <c r="S39" s="6"/>
      <c r="T39" s="29" t="s">
        <v>260</v>
      </c>
    </row>
    <row r="40" customFormat="false" ht="15" hidden="false" customHeight="false" outlineLevel="0" collapsed="false">
      <c r="A40" s="10" t="n">
        <v>36</v>
      </c>
      <c r="B40" s="13" t="s">
        <v>261</v>
      </c>
      <c r="C40" s="8" t="s">
        <v>34</v>
      </c>
      <c r="D40" s="8" t="s">
        <v>168</v>
      </c>
      <c r="E40" s="8" t="s">
        <v>47</v>
      </c>
      <c r="F40" s="27" t="n">
        <v>2</v>
      </c>
      <c r="G40" s="28" t="n">
        <f aca="false">INDEX(Rollout!$C$7:$C$9,F40)</f>
        <v>2028</v>
      </c>
      <c r="H40" s="23" t="s">
        <v>220</v>
      </c>
      <c r="I40" s="27" t="n">
        <v>16</v>
      </c>
      <c r="J40" s="27" t="n">
        <v>2</v>
      </c>
      <c r="K40" s="23" t="s">
        <v>20</v>
      </c>
      <c r="L40" s="18" t="str">
        <f aca="false">INDEX(Assumptions!$B$23:$B$25,MATCH(K40,Assumptions!$A$23:$A$25,0))</f>
        <v>Golfzon Vision Standard</v>
      </c>
      <c r="M40" s="11" t="n">
        <f aca="false">J40*INDEX(Assumptions!$D$23:$D$25,MATCH(K40,Assumptions!$A$23:$A$25,0))</f>
        <v>1683500</v>
      </c>
      <c r="N40" s="10" t="n">
        <f aca="false">J40*INDEX(Assumptions!$G$23:$G$25,MATCH(K40,Assumptions!$A$23:$A$25,0))</f>
        <v>3564</v>
      </c>
      <c r="O40" s="12" t="n">
        <f aca="false">J40*INDEX(Assumptions!$H$23:$H$25,MATCH(K40,Assumptions!$A$23:$A$25,0))</f>
        <v>1283040</v>
      </c>
      <c r="P40" s="12" t="n">
        <f aca="false">J40*INDEX(Assumptions!$M$23:$M$25,MATCH(K40,Assumptions!$A$23:$A$25,0))</f>
        <v>1818191.01470588</v>
      </c>
      <c r="Q40" s="12" t="n">
        <f aca="false">J40*INDEX(Assumptions!$N$23:$N$25,MATCH(K40,Assumptions!$A$23:$A$25,0))</f>
        <v>353638.202941177</v>
      </c>
      <c r="R40" s="6" t="s">
        <v>257</v>
      </c>
      <c r="S40" s="6"/>
      <c r="T40" s="29" t="s">
        <v>262</v>
      </c>
    </row>
    <row r="41" customFormat="false" ht="15" hidden="false" customHeight="false" outlineLevel="0" collapsed="false">
      <c r="A41" s="10" t="n">
        <v>37</v>
      </c>
      <c r="B41" s="13" t="s">
        <v>263</v>
      </c>
      <c r="C41" s="8" t="s">
        <v>34</v>
      </c>
      <c r="D41" s="8" t="s">
        <v>264</v>
      </c>
      <c r="E41" s="8" t="s">
        <v>47</v>
      </c>
      <c r="F41" s="27" t="n">
        <v>2</v>
      </c>
      <c r="G41" s="28" t="n">
        <f aca="false">INDEX(Rollout!$C$7:$C$9,F41)</f>
        <v>2028</v>
      </c>
      <c r="H41" s="23" t="s">
        <v>220</v>
      </c>
      <c r="I41" s="27" t="n">
        <v>17</v>
      </c>
      <c r="J41" s="27" t="n">
        <v>2</v>
      </c>
      <c r="K41" s="23" t="s">
        <v>20</v>
      </c>
      <c r="L41" s="18" t="str">
        <f aca="false">INDEX(Assumptions!$B$23:$B$25,MATCH(K41,Assumptions!$A$23:$A$25,0))</f>
        <v>Golfzon Vision Standard</v>
      </c>
      <c r="M41" s="11" t="n">
        <f aca="false">J41*INDEX(Assumptions!$D$23:$D$25,MATCH(K41,Assumptions!$A$23:$A$25,0))</f>
        <v>1683500</v>
      </c>
      <c r="N41" s="10" t="n">
        <f aca="false">J41*INDEX(Assumptions!$G$23:$G$25,MATCH(K41,Assumptions!$A$23:$A$25,0))</f>
        <v>3564</v>
      </c>
      <c r="O41" s="12" t="n">
        <f aca="false">J41*INDEX(Assumptions!$H$23:$H$25,MATCH(K41,Assumptions!$A$23:$A$25,0))</f>
        <v>1283040</v>
      </c>
      <c r="P41" s="12" t="n">
        <f aca="false">J41*INDEX(Assumptions!$M$23:$M$25,MATCH(K41,Assumptions!$A$23:$A$25,0))</f>
        <v>1818191.01470588</v>
      </c>
      <c r="Q41" s="12" t="n">
        <f aca="false">J41*INDEX(Assumptions!$N$23:$N$25,MATCH(K41,Assumptions!$A$23:$A$25,0))</f>
        <v>353638.202941177</v>
      </c>
      <c r="R41" s="6" t="s">
        <v>265</v>
      </c>
      <c r="S41" s="6"/>
      <c r="T41" s="29" t="s">
        <v>266</v>
      </c>
    </row>
    <row r="42" customFormat="false" ht="15" hidden="false" customHeight="false" outlineLevel="0" collapsed="false">
      <c r="A42" s="10" t="n">
        <v>38</v>
      </c>
      <c r="B42" s="13" t="s">
        <v>267</v>
      </c>
      <c r="C42" s="8" t="s">
        <v>34</v>
      </c>
      <c r="D42" s="8" t="s">
        <v>264</v>
      </c>
      <c r="E42" s="8" t="s">
        <v>47</v>
      </c>
      <c r="F42" s="27" t="n">
        <v>2</v>
      </c>
      <c r="G42" s="28" t="n">
        <f aca="false">INDEX(Rollout!$C$7:$C$9,F42)</f>
        <v>2028</v>
      </c>
      <c r="H42" s="23" t="s">
        <v>220</v>
      </c>
      <c r="I42" s="27" t="n">
        <v>18</v>
      </c>
      <c r="J42" s="27" t="n">
        <v>2</v>
      </c>
      <c r="K42" s="23" t="s">
        <v>20</v>
      </c>
      <c r="L42" s="18" t="str">
        <f aca="false">INDEX(Assumptions!$B$23:$B$25,MATCH(K42,Assumptions!$A$23:$A$25,0))</f>
        <v>Golfzon Vision Standard</v>
      </c>
      <c r="M42" s="11" t="n">
        <f aca="false">J42*INDEX(Assumptions!$D$23:$D$25,MATCH(K42,Assumptions!$A$23:$A$25,0))</f>
        <v>1683500</v>
      </c>
      <c r="N42" s="10" t="n">
        <f aca="false">J42*INDEX(Assumptions!$G$23:$G$25,MATCH(K42,Assumptions!$A$23:$A$25,0))</f>
        <v>3564</v>
      </c>
      <c r="O42" s="12" t="n">
        <f aca="false">J42*INDEX(Assumptions!$H$23:$H$25,MATCH(K42,Assumptions!$A$23:$A$25,0))</f>
        <v>1283040</v>
      </c>
      <c r="P42" s="12" t="n">
        <f aca="false">J42*INDEX(Assumptions!$M$23:$M$25,MATCH(K42,Assumptions!$A$23:$A$25,0))</f>
        <v>1818191.01470588</v>
      </c>
      <c r="Q42" s="12" t="n">
        <f aca="false">J42*INDEX(Assumptions!$N$23:$N$25,MATCH(K42,Assumptions!$A$23:$A$25,0))</f>
        <v>353638.202941177</v>
      </c>
      <c r="R42" s="6" t="s">
        <v>265</v>
      </c>
      <c r="S42" s="6"/>
      <c r="T42" s="29" t="s">
        <v>268</v>
      </c>
    </row>
    <row r="43" customFormat="false" ht="15" hidden="false" customHeight="false" outlineLevel="0" collapsed="false">
      <c r="A43" s="10" t="n">
        <v>39</v>
      </c>
      <c r="B43" s="13" t="s">
        <v>269</v>
      </c>
      <c r="C43" s="8" t="s">
        <v>34</v>
      </c>
      <c r="D43" s="8" t="s">
        <v>270</v>
      </c>
      <c r="E43" s="8" t="s">
        <v>47</v>
      </c>
      <c r="F43" s="27" t="n">
        <v>2</v>
      </c>
      <c r="G43" s="28" t="n">
        <f aca="false">INDEX(Rollout!$C$7:$C$9,F43)</f>
        <v>2028</v>
      </c>
      <c r="H43" s="23" t="s">
        <v>220</v>
      </c>
      <c r="I43" s="27" t="n">
        <v>19</v>
      </c>
      <c r="J43" s="27" t="n">
        <v>2</v>
      </c>
      <c r="K43" s="23" t="s">
        <v>20</v>
      </c>
      <c r="L43" s="18" t="str">
        <f aca="false">INDEX(Assumptions!$B$23:$B$25,MATCH(K43,Assumptions!$A$23:$A$25,0))</f>
        <v>Golfzon Vision Standard</v>
      </c>
      <c r="M43" s="11" t="n">
        <f aca="false">J43*INDEX(Assumptions!$D$23:$D$25,MATCH(K43,Assumptions!$A$23:$A$25,0))</f>
        <v>1683500</v>
      </c>
      <c r="N43" s="10" t="n">
        <f aca="false">J43*INDEX(Assumptions!$G$23:$G$25,MATCH(K43,Assumptions!$A$23:$A$25,0))</f>
        <v>3564</v>
      </c>
      <c r="O43" s="12" t="n">
        <f aca="false">J43*INDEX(Assumptions!$H$23:$H$25,MATCH(K43,Assumptions!$A$23:$A$25,0))</f>
        <v>1283040</v>
      </c>
      <c r="P43" s="12" t="n">
        <f aca="false">J43*INDEX(Assumptions!$M$23:$M$25,MATCH(K43,Assumptions!$A$23:$A$25,0))</f>
        <v>1818191.01470588</v>
      </c>
      <c r="Q43" s="12" t="n">
        <f aca="false">J43*INDEX(Assumptions!$N$23:$N$25,MATCH(K43,Assumptions!$A$23:$A$25,0))</f>
        <v>353638.202941177</v>
      </c>
      <c r="R43" s="6" t="s">
        <v>271</v>
      </c>
      <c r="S43" s="6"/>
      <c r="T43" s="29" t="s">
        <v>272</v>
      </c>
    </row>
    <row r="44" customFormat="false" ht="15" hidden="false" customHeight="false" outlineLevel="0" collapsed="false">
      <c r="A44" s="10" t="n">
        <v>40</v>
      </c>
      <c r="B44" s="13" t="s">
        <v>273</v>
      </c>
      <c r="C44" s="8" t="s">
        <v>34</v>
      </c>
      <c r="D44" s="8" t="s">
        <v>274</v>
      </c>
      <c r="E44" s="8" t="s">
        <v>47</v>
      </c>
      <c r="F44" s="27" t="n">
        <v>2</v>
      </c>
      <c r="G44" s="28" t="n">
        <f aca="false">INDEX(Rollout!$C$7:$C$9,F44)</f>
        <v>2028</v>
      </c>
      <c r="H44" s="23" t="s">
        <v>220</v>
      </c>
      <c r="I44" s="27" t="n">
        <v>20</v>
      </c>
      <c r="J44" s="27" t="n">
        <v>2</v>
      </c>
      <c r="K44" s="23" t="s">
        <v>20</v>
      </c>
      <c r="L44" s="18" t="str">
        <f aca="false">INDEX(Assumptions!$B$23:$B$25,MATCH(K44,Assumptions!$A$23:$A$25,0))</f>
        <v>Golfzon Vision Standard</v>
      </c>
      <c r="M44" s="11" t="n">
        <f aca="false">J44*INDEX(Assumptions!$D$23:$D$25,MATCH(K44,Assumptions!$A$23:$A$25,0))</f>
        <v>1683500</v>
      </c>
      <c r="N44" s="10" t="n">
        <f aca="false">J44*INDEX(Assumptions!$G$23:$G$25,MATCH(K44,Assumptions!$A$23:$A$25,0))</f>
        <v>3564</v>
      </c>
      <c r="O44" s="12" t="n">
        <f aca="false">J44*INDEX(Assumptions!$H$23:$H$25,MATCH(K44,Assumptions!$A$23:$A$25,0))</f>
        <v>1283040</v>
      </c>
      <c r="P44" s="12" t="n">
        <f aca="false">J44*INDEX(Assumptions!$M$23:$M$25,MATCH(K44,Assumptions!$A$23:$A$25,0))</f>
        <v>1818191.01470588</v>
      </c>
      <c r="Q44" s="12" t="n">
        <f aca="false">J44*INDEX(Assumptions!$N$23:$N$25,MATCH(K44,Assumptions!$A$23:$A$25,0))</f>
        <v>353638.202941177</v>
      </c>
      <c r="R44" s="6" t="s">
        <v>275</v>
      </c>
      <c r="S44" s="6"/>
      <c r="T44" s="29" t="s">
        <v>276</v>
      </c>
    </row>
    <row r="45" customFormat="false" ht="15" hidden="false" customHeight="false" outlineLevel="0" collapsed="false">
      <c r="A45" s="10" t="n">
        <v>41</v>
      </c>
      <c r="B45" s="13" t="s">
        <v>277</v>
      </c>
      <c r="C45" s="8" t="s">
        <v>34</v>
      </c>
      <c r="D45" s="8" t="s">
        <v>278</v>
      </c>
      <c r="E45" s="8" t="s">
        <v>47</v>
      </c>
      <c r="F45" s="27" t="n">
        <v>2</v>
      </c>
      <c r="G45" s="28" t="n">
        <f aca="false">INDEX(Rollout!$C$7:$C$9,F45)</f>
        <v>2028</v>
      </c>
      <c r="H45" s="23" t="s">
        <v>220</v>
      </c>
      <c r="I45" s="27" t="n">
        <v>21</v>
      </c>
      <c r="J45" s="27" t="n">
        <v>2</v>
      </c>
      <c r="K45" s="23" t="s">
        <v>20</v>
      </c>
      <c r="L45" s="18" t="str">
        <f aca="false">INDEX(Assumptions!$B$23:$B$25,MATCH(K45,Assumptions!$A$23:$A$25,0))</f>
        <v>Golfzon Vision Standard</v>
      </c>
      <c r="M45" s="11" t="n">
        <f aca="false">J45*INDEX(Assumptions!$D$23:$D$25,MATCH(K45,Assumptions!$A$23:$A$25,0))</f>
        <v>1683500</v>
      </c>
      <c r="N45" s="10" t="n">
        <f aca="false">J45*INDEX(Assumptions!$G$23:$G$25,MATCH(K45,Assumptions!$A$23:$A$25,0))</f>
        <v>3564</v>
      </c>
      <c r="O45" s="12" t="n">
        <f aca="false">J45*INDEX(Assumptions!$H$23:$H$25,MATCH(K45,Assumptions!$A$23:$A$25,0))</f>
        <v>1283040</v>
      </c>
      <c r="P45" s="12" t="n">
        <f aca="false">J45*INDEX(Assumptions!$M$23:$M$25,MATCH(K45,Assumptions!$A$23:$A$25,0))</f>
        <v>1818191.01470588</v>
      </c>
      <c r="Q45" s="12" t="n">
        <f aca="false">J45*INDEX(Assumptions!$N$23:$N$25,MATCH(K45,Assumptions!$A$23:$A$25,0))</f>
        <v>353638.202941177</v>
      </c>
      <c r="R45" s="6" t="s">
        <v>279</v>
      </c>
      <c r="S45" s="6"/>
      <c r="T45" s="29" t="s">
        <v>280</v>
      </c>
    </row>
    <row r="46" customFormat="false" ht="15" hidden="false" customHeight="false" outlineLevel="0" collapsed="false">
      <c r="A46" s="10" t="n">
        <v>42</v>
      </c>
      <c r="B46" s="13" t="s">
        <v>281</v>
      </c>
      <c r="C46" s="8" t="s">
        <v>34</v>
      </c>
      <c r="D46" s="8" t="s">
        <v>158</v>
      </c>
      <c r="E46" s="8" t="s">
        <v>47</v>
      </c>
      <c r="F46" s="27" t="n">
        <v>2</v>
      </c>
      <c r="G46" s="28" t="n">
        <f aca="false">INDEX(Rollout!$C$7:$C$9,F46)</f>
        <v>2028</v>
      </c>
      <c r="H46" s="23" t="s">
        <v>220</v>
      </c>
      <c r="I46" s="27" t="n">
        <v>22</v>
      </c>
      <c r="J46" s="27" t="n">
        <v>2</v>
      </c>
      <c r="K46" s="23" t="s">
        <v>20</v>
      </c>
      <c r="L46" s="18" t="str">
        <f aca="false">INDEX(Assumptions!$B$23:$B$25,MATCH(K46,Assumptions!$A$23:$A$25,0))</f>
        <v>Golfzon Vision Standard</v>
      </c>
      <c r="M46" s="11" t="n">
        <f aca="false">J46*INDEX(Assumptions!$D$23:$D$25,MATCH(K46,Assumptions!$A$23:$A$25,0))</f>
        <v>1683500</v>
      </c>
      <c r="N46" s="10" t="n">
        <f aca="false">J46*INDEX(Assumptions!$G$23:$G$25,MATCH(K46,Assumptions!$A$23:$A$25,0))</f>
        <v>3564</v>
      </c>
      <c r="O46" s="12" t="n">
        <f aca="false">J46*INDEX(Assumptions!$H$23:$H$25,MATCH(K46,Assumptions!$A$23:$A$25,0))</f>
        <v>1283040</v>
      </c>
      <c r="P46" s="12" t="n">
        <f aca="false">J46*INDEX(Assumptions!$M$23:$M$25,MATCH(K46,Assumptions!$A$23:$A$25,0))</f>
        <v>1818191.01470588</v>
      </c>
      <c r="Q46" s="12" t="n">
        <f aca="false">J46*INDEX(Assumptions!$N$23:$N$25,MATCH(K46,Assumptions!$A$23:$A$25,0))</f>
        <v>353638.202941177</v>
      </c>
      <c r="R46" s="6" t="s">
        <v>282</v>
      </c>
      <c r="S46" s="6"/>
      <c r="T46" s="29" t="s">
        <v>283</v>
      </c>
    </row>
    <row r="47" customFormat="false" ht="15" hidden="false" customHeight="false" outlineLevel="0" collapsed="false">
      <c r="A47" s="10" t="n">
        <v>43</v>
      </c>
      <c r="B47" s="13" t="s">
        <v>284</v>
      </c>
      <c r="C47" s="8" t="s">
        <v>34</v>
      </c>
      <c r="D47" s="8" t="s">
        <v>285</v>
      </c>
      <c r="E47" s="8" t="s">
        <v>47</v>
      </c>
      <c r="F47" s="27" t="n">
        <v>2</v>
      </c>
      <c r="G47" s="28" t="n">
        <f aca="false">INDEX(Rollout!$C$7:$C$9,F47)</f>
        <v>2028</v>
      </c>
      <c r="H47" s="23" t="s">
        <v>220</v>
      </c>
      <c r="I47" s="27" t="n">
        <v>23</v>
      </c>
      <c r="J47" s="27" t="n">
        <v>2</v>
      </c>
      <c r="K47" s="23" t="s">
        <v>20</v>
      </c>
      <c r="L47" s="18" t="str">
        <f aca="false">INDEX(Assumptions!$B$23:$B$25,MATCH(K47,Assumptions!$A$23:$A$25,0))</f>
        <v>Golfzon Vision Standard</v>
      </c>
      <c r="M47" s="11" t="n">
        <f aca="false">J47*INDEX(Assumptions!$D$23:$D$25,MATCH(K47,Assumptions!$A$23:$A$25,0))</f>
        <v>1683500</v>
      </c>
      <c r="N47" s="10" t="n">
        <f aca="false">J47*INDEX(Assumptions!$G$23:$G$25,MATCH(K47,Assumptions!$A$23:$A$25,0))</f>
        <v>3564</v>
      </c>
      <c r="O47" s="12" t="n">
        <f aca="false">J47*INDEX(Assumptions!$H$23:$H$25,MATCH(K47,Assumptions!$A$23:$A$25,0))</f>
        <v>1283040</v>
      </c>
      <c r="P47" s="12" t="n">
        <f aca="false">J47*INDEX(Assumptions!$M$23:$M$25,MATCH(K47,Assumptions!$A$23:$A$25,0))</f>
        <v>1818191.01470588</v>
      </c>
      <c r="Q47" s="12" t="n">
        <f aca="false">J47*INDEX(Assumptions!$N$23:$N$25,MATCH(K47,Assumptions!$A$23:$A$25,0))</f>
        <v>353638.202941177</v>
      </c>
      <c r="R47" s="6" t="s">
        <v>286</v>
      </c>
      <c r="S47" s="6"/>
      <c r="T47" s="29" t="s">
        <v>287</v>
      </c>
    </row>
    <row r="48" customFormat="false" ht="15" hidden="false" customHeight="false" outlineLevel="0" collapsed="false">
      <c r="A48" s="10" t="n">
        <v>44</v>
      </c>
      <c r="B48" s="13" t="s">
        <v>288</v>
      </c>
      <c r="C48" s="8" t="s">
        <v>34</v>
      </c>
      <c r="D48" s="8" t="s">
        <v>285</v>
      </c>
      <c r="E48" s="8" t="s">
        <v>47</v>
      </c>
      <c r="F48" s="27" t="n">
        <v>2</v>
      </c>
      <c r="G48" s="28" t="n">
        <f aca="false">INDEX(Rollout!$C$7:$C$9,F48)</f>
        <v>2028</v>
      </c>
      <c r="H48" s="23" t="s">
        <v>220</v>
      </c>
      <c r="I48" s="27" t="n">
        <v>24</v>
      </c>
      <c r="J48" s="27" t="n">
        <v>2</v>
      </c>
      <c r="K48" s="23" t="s">
        <v>20</v>
      </c>
      <c r="L48" s="18" t="str">
        <f aca="false">INDEX(Assumptions!$B$23:$B$25,MATCH(K48,Assumptions!$A$23:$A$25,0))</f>
        <v>Golfzon Vision Standard</v>
      </c>
      <c r="M48" s="11" t="n">
        <f aca="false">J48*INDEX(Assumptions!$D$23:$D$25,MATCH(K48,Assumptions!$A$23:$A$25,0))</f>
        <v>1683500</v>
      </c>
      <c r="N48" s="10" t="n">
        <f aca="false">J48*INDEX(Assumptions!$G$23:$G$25,MATCH(K48,Assumptions!$A$23:$A$25,0))</f>
        <v>3564</v>
      </c>
      <c r="O48" s="12" t="n">
        <f aca="false">J48*INDEX(Assumptions!$H$23:$H$25,MATCH(K48,Assumptions!$A$23:$A$25,0))</f>
        <v>1283040</v>
      </c>
      <c r="P48" s="12" t="n">
        <f aca="false">J48*INDEX(Assumptions!$M$23:$M$25,MATCH(K48,Assumptions!$A$23:$A$25,0))</f>
        <v>1818191.01470588</v>
      </c>
      <c r="Q48" s="12" t="n">
        <f aca="false">J48*INDEX(Assumptions!$N$23:$N$25,MATCH(K48,Assumptions!$A$23:$A$25,0))</f>
        <v>353638.202941177</v>
      </c>
      <c r="R48" s="6" t="s">
        <v>286</v>
      </c>
      <c r="S48" s="6"/>
      <c r="T48" s="29" t="s">
        <v>289</v>
      </c>
    </row>
    <row r="49" customFormat="false" ht="15" hidden="false" customHeight="false" outlineLevel="0" collapsed="false">
      <c r="A49" s="10" t="n">
        <v>45</v>
      </c>
      <c r="B49" s="13" t="s">
        <v>290</v>
      </c>
      <c r="C49" s="8" t="s">
        <v>34</v>
      </c>
      <c r="D49" s="8" t="s">
        <v>158</v>
      </c>
      <c r="E49" s="8" t="s">
        <v>47</v>
      </c>
      <c r="F49" s="27" t="n">
        <v>2</v>
      </c>
      <c r="G49" s="28" t="n">
        <f aca="false">INDEX(Rollout!$C$7:$C$9,F49)</f>
        <v>2028</v>
      </c>
      <c r="H49" s="23" t="s">
        <v>220</v>
      </c>
      <c r="I49" s="27" t="n">
        <v>25</v>
      </c>
      <c r="J49" s="27" t="n">
        <v>2</v>
      </c>
      <c r="K49" s="23" t="s">
        <v>20</v>
      </c>
      <c r="L49" s="18" t="str">
        <f aca="false">INDEX(Assumptions!$B$23:$B$25,MATCH(K49,Assumptions!$A$23:$A$25,0))</f>
        <v>Golfzon Vision Standard</v>
      </c>
      <c r="M49" s="11" t="n">
        <f aca="false">J49*INDEX(Assumptions!$D$23:$D$25,MATCH(K49,Assumptions!$A$23:$A$25,0))</f>
        <v>1683500</v>
      </c>
      <c r="N49" s="10" t="n">
        <f aca="false">J49*INDEX(Assumptions!$G$23:$G$25,MATCH(K49,Assumptions!$A$23:$A$25,0))</f>
        <v>3564</v>
      </c>
      <c r="O49" s="12" t="n">
        <f aca="false">J49*INDEX(Assumptions!$H$23:$H$25,MATCH(K49,Assumptions!$A$23:$A$25,0))</f>
        <v>1283040</v>
      </c>
      <c r="P49" s="12" t="n">
        <f aca="false">J49*INDEX(Assumptions!$M$23:$M$25,MATCH(K49,Assumptions!$A$23:$A$25,0))</f>
        <v>1818191.01470588</v>
      </c>
      <c r="Q49" s="12" t="n">
        <f aca="false">J49*INDEX(Assumptions!$N$23:$N$25,MATCH(K49,Assumptions!$A$23:$A$25,0))</f>
        <v>353638.202941177</v>
      </c>
      <c r="R49" s="6" t="s">
        <v>282</v>
      </c>
      <c r="S49" s="6"/>
      <c r="T49" s="29" t="s">
        <v>291</v>
      </c>
    </row>
    <row r="50" customFormat="false" ht="15" hidden="false" customHeight="false" outlineLevel="0" collapsed="false">
      <c r="A50" s="10" t="n">
        <v>46</v>
      </c>
      <c r="B50" s="13" t="s">
        <v>292</v>
      </c>
      <c r="C50" s="8" t="s">
        <v>34</v>
      </c>
      <c r="D50" s="8" t="s">
        <v>171</v>
      </c>
      <c r="E50" s="8" t="s">
        <v>47</v>
      </c>
      <c r="F50" s="27" t="n">
        <v>2</v>
      </c>
      <c r="G50" s="28" t="n">
        <f aca="false">INDEX(Rollout!$C$7:$C$9,F50)</f>
        <v>2028</v>
      </c>
      <c r="H50" s="23" t="s">
        <v>293</v>
      </c>
      <c r="I50" s="27" t="n">
        <v>26</v>
      </c>
      <c r="J50" s="27" t="n">
        <v>2</v>
      </c>
      <c r="K50" s="23" t="s">
        <v>20</v>
      </c>
      <c r="L50" s="18" t="str">
        <f aca="false">INDEX(Assumptions!$B$23:$B$25,MATCH(K50,Assumptions!$A$23:$A$25,0))</f>
        <v>Golfzon Vision Standard</v>
      </c>
      <c r="M50" s="11" t="n">
        <f aca="false">J50*INDEX(Assumptions!$D$23:$D$25,MATCH(K50,Assumptions!$A$23:$A$25,0))</f>
        <v>1683500</v>
      </c>
      <c r="N50" s="10" t="n">
        <f aca="false">J50*INDEX(Assumptions!$G$23:$G$25,MATCH(K50,Assumptions!$A$23:$A$25,0))</f>
        <v>3564</v>
      </c>
      <c r="O50" s="12" t="n">
        <f aca="false">J50*INDEX(Assumptions!$H$23:$H$25,MATCH(K50,Assumptions!$A$23:$A$25,0))</f>
        <v>1283040</v>
      </c>
      <c r="P50" s="12" t="n">
        <f aca="false">J50*INDEX(Assumptions!$M$23:$M$25,MATCH(K50,Assumptions!$A$23:$A$25,0))</f>
        <v>1818191.01470588</v>
      </c>
      <c r="Q50" s="12" t="n">
        <f aca="false">J50*INDEX(Assumptions!$N$23:$N$25,MATCH(K50,Assumptions!$A$23:$A$25,0))</f>
        <v>353638.202941177</v>
      </c>
      <c r="R50" s="6" t="s">
        <v>294</v>
      </c>
      <c r="S50" s="6"/>
      <c r="T50" s="29" t="s">
        <v>295</v>
      </c>
    </row>
    <row r="51" customFormat="false" ht="15" hidden="false" customHeight="false" outlineLevel="0" collapsed="false">
      <c r="A51" s="10" t="n">
        <v>47</v>
      </c>
      <c r="B51" s="13" t="s">
        <v>296</v>
      </c>
      <c r="C51" s="8" t="s">
        <v>35</v>
      </c>
      <c r="D51" s="8" t="s">
        <v>297</v>
      </c>
      <c r="E51" s="8" t="s">
        <v>47</v>
      </c>
      <c r="F51" s="27" t="n">
        <v>2</v>
      </c>
      <c r="G51" s="28" t="n">
        <f aca="false">INDEX(Rollout!$C$7:$C$9,F51)</f>
        <v>2028</v>
      </c>
      <c r="H51" s="23" t="s">
        <v>293</v>
      </c>
      <c r="I51" s="27" t="n">
        <v>27</v>
      </c>
      <c r="J51" s="27" t="n">
        <v>2</v>
      </c>
      <c r="K51" s="23" t="s">
        <v>20</v>
      </c>
      <c r="L51" s="18" t="str">
        <f aca="false">INDEX(Assumptions!$B$23:$B$25,MATCH(K51,Assumptions!$A$23:$A$25,0))</f>
        <v>Golfzon Vision Standard</v>
      </c>
      <c r="M51" s="11" t="n">
        <f aca="false">J51*INDEX(Assumptions!$D$23:$D$25,MATCH(K51,Assumptions!$A$23:$A$25,0))</f>
        <v>1683500</v>
      </c>
      <c r="N51" s="10" t="n">
        <f aca="false">J51*INDEX(Assumptions!$G$23:$G$25,MATCH(K51,Assumptions!$A$23:$A$25,0))</f>
        <v>3564</v>
      </c>
      <c r="O51" s="12" t="n">
        <f aca="false">J51*INDEX(Assumptions!$H$23:$H$25,MATCH(K51,Assumptions!$A$23:$A$25,0))</f>
        <v>1283040</v>
      </c>
      <c r="P51" s="12" t="n">
        <f aca="false">J51*INDEX(Assumptions!$M$23:$M$25,MATCH(K51,Assumptions!$A$23:$A$25,0))</f>
        <v>1818191.01470588</v>
      </c>
      <c r="Q51" s="12" t="n">
        <f aca="false">J51*INDEX(Assumptions!$N$23:$N$25,MATCH(K51,Assumptions!$A$23:$A$25,0))</f>
        <v>353638.202941177</v>
      </c>
      <c r="R51" s="6" t="s">
        <v>298</v>
      </c>
      <c r="S51" s="6"/>
      <c r="T51" s="29" t="s">
        <v>299</v>
      </c>
    </row>
    <row r="52" customFormat="false" ht="15" hidden="false" customHeight="false" outlineLevel="0" collapsed="false">
      <c r="A52" s="10" t="n">
        <v>48</v>
      </c>
      <c r="B52" s="13" t="s">
        <v>300</v>
      </c>
      <c r="C52" s="8" t="s">
        <v>35</v>
      </c>
      <c r="D52" s="8" t="s">
        <v>193</v>
      </c>
      <c r="E52" s="8" t="s">
        <v>47</v>
      </c>
      <c r="F52" s="27" t="n">
        <v>2</v>
      </c>
      <c r="G52" s="28" t="n">
        <f aca="false">INDEX(Rollout!$C$7:$C$9,F52)</f>
        <v>2028</v>
      </c>
      <c r="H52" s="23" t="s">
        <v>293</v>
      </c>
      <c r="I52" s="27" t="n">
        <v>28</v>
      </c>
      <c r="J52" s="27" t="n">
        <v>2</v>
      </c>
      <c r="K52" s="23" t="s">
        <v>20</v>
      </c>
      <c r="L52" s="18" t="str">
        <f aca="false">INDEX(Assumptions!$B$23:$B$25,MATCH(K52,Assumptions!$A$23:$A$25,0))</f>
        <v>Golfzon Vision Standard</v>
      </c>
      <c r="M52" s="11" t="n">
        <f aca="false">J52*INDEX(Assumptions!$D$23:$D$25,MATCH(K52,Assumptions!$A$23:$A$25,0))</f>
        <v>1683500</v>
      </c>
      <c r="N52" s="10" t="n">
        <f aca="false">J52*INDEX(Assumptions!$G$23:$G$25,MATCH(K52,Assumptions!$A$23:$A$25,0))</f>
        <v>3564</v>
      </c>
      <c r="O52" s="12" t="n">
        <f aca="false">J52*INDEX(Assumptions!$H$23:$H$25,MATCH(K52,Assumptions!$A$23:$A$25,0))</f>
        <v>1283040</v>
      </c>
      <c r="P52" s="12" t="n">
        <f aca="false">J52*INDEX(Assumptions!$M$23:$M$25,MATCH(K52,Assumptions!$A$23:$A$25,0))</f>
        <v>1818191.01470588</v>
      </c>
      <c r="Q52" s="12" t="n">
        <f aca="false">J52*INDEX(Assumptions!$N$23:$N$25,MATCH(K52,Assumptions!$A$23:$A$25,0))</f>
        <v>353638.202941177</v>
      </c>
      <c r="R52" s="6" t="s">
        <v>301</v>
      </c>
      <c r="S52" s="6"/>
      <c r="T52" s="29" t="s">
        <v>302</v>
      </c>
    </row>
    <row r="53" customFormat="false" ht="15" hidden="false" customHeight="false" outlineLevel="0" collapsed="false">
      <c r="A53" s="10" t="n">
        <v>49</v>
      </c>
      <c r="B53" s="13" t="s">
        <v>303</v>
      </c>
      <c r="C53" s="8" t="s">
        <v>35</v>
      </c>
      <c r="D53" s="8" t="s">
        <v>304</v>
      </c>
      <c r="E53" s="8" t="s">
        <v>47</v>
      </c>
      <c r="F53" s="27" t="n">
        <v>2</v>
      </c>
      <c r="G53" s="28" t="n">
        <f aca="false">INDEX(Rollout!$C$7:$C$9,F53)</f>
        <v>2028</v>
      </c>
      <c r="H53" s="23" t="s">
        <v>293</v>
      </c>
      <c r="I53" s="27" t="n">
        <v>29</v>
      </c>
      <c r="J53" s="27" t="n">
        <v>2</v>
      </c>
      <c r="K53" s="23" t="s">
        <v>20</v>
      </c>
      <c r="L53" s="18" t="str">
        <f aca="false">INDEX(Assumptions!$B$23:$B$25,MATCH(K53,Assumptions!$A$23:$A$25,0))</f>
        <v>Golfzon Vision Standard</v>
      </c>
      <c r="M53" s="11" t="n">
        <f aca="false">J53*INDEX(Assumptions!$D$23:$D$25,MATCH(K53,Assumptions!$A$23:$A$25,0))</f>
        <v>1683500</v>
      </c>
      <c r="N53" s="10" t="n">
        <f aca="false">J53*INDEX(Assumptions!$G$23:$G$25,MATCH(K53,Assumptions!$A$23:$A$25,0))</f>
        <v>3564</v>
      </c>
      <c r="O53" s="12" t="n">
        <f aca="false">J53*INDEX(Assumptions!$H$23:$H$25,MATCH(K53,Assumptions!$A$23:$A$25,0))</f>
        <v>1283040</v>
      </c>
      <c r="P53" s="12" t="n">
        <f aca="false">J53*INDEX(Assumptions!$M$23:$M$25,MATCH(K53,Assumptions!$A$23:$A$25,0))</f>
        <v>1818191.01470588</v>
      </c>
      <c r="Q53" s="12" t="n">
        <f aca="false">J53*INDEX(Assumptions!$N$23:$N$25,MATCH(K53,Assumptions!$A$23:$A$25,0))</f>
        <v>353638.202941177</v>
      </c>
      <c r="R53" s="6" t="s">
        <v>305</v>
      </c>
      <c r="S53" s="6"/>
      <c r="T53" s="29" t="s">
        <v>306</v>
      </c>
    </row>
    <row r="54" customFormat="false" ht="15" hidden="false" customHeight="false" outlineLevel="0" collapsed="false">
      <c r="A54" s="10" t="n">
        <v>50</v>
      </c>
      <c r="B54" s="13" t="s">
        <v>307</v>
      </c>
      <c r="C54" s="8" t="s">
        <v>35</v>
      </c>
      <c r="D54" s="8" t="s">
        <v>308</v>
      </c>
      <c r="E54" s="8" t="s">
        <v>47</v>
      </c>
      <c r="F54" s="27" t="n">
        <v>2</v>
      </c>
      <c r="G54" s="28" t="n">
        <f aca="false">INDEX(Rollout!$C$7:$C$9,F54)</f>
        <v>2028</v>
      </c>
      <c r="H54" s="23" t="s">
        <v>293</v>
      </c>
      <c r="I54" s="27" t="n">
        <v>30</v>
      </c>
      <c r="J54" s="27" t="n">
        <v>2</v>
      </c>
      <c r="K54" s="23" t="s">
        <v>20</v>
      </c>
      <c r="L54" s="18" t="str">
        <f aca="false">INDEX(Assumptions!$B$23:$B$25,MATCH(K54,Assumptions!$A$23:$A$25,0))</f>
        <v>Golfzon Vision Standard</v>
      </c>
      <c r="M54" s="11" t="n">
        <f aca="false">J54*INDEX(Assumptions!$D$23:$D$25,MATCH(K54,Assumptions!$A$23:$A$25,0))</f>
        <v>1683500</v>
      </c>
      <c r="N54" s="10" t="n">
        <f aca="false">J54*INDEX(Assumptions!$G$23:$G$25,MATCH(K54,Assumptions!$A$23:$A$25,0))</f>
        <v>3564</v>
      </c>
      <c r="O54" s="12" t="n">
        <f aca="false">J54*INDEX(Assumptions!$H$23:$H$25,MATCH(K54,Assumptions!$A$23:$A$25,0))</f>
        <v>1283040</v>
      </c>
      <c r="P54" s="12" t="n">
        <f aca="false">J54*INDEX(Assumptions!$M$23:$M$25,MATCH(K54,Assumptions!$A$23:$A$25,0))</f>
        <v>1818191.01470588</v>
      </c>
      <c r="Q54" s="12" t="n">
        <f aca="false">J54*INDEX(Assumptions!$N$23:$N$25,MATCH(K54,Assumptions!$A$23:$A$25,0))</f>
        <v>353638.202941177</v>
      </c>
      <c r="R54" s="6" t="s">
        <v>309</v>
      </c>
      <c r="S54" s="6"/>
      <c r="T54" s="29" t="s">
        <v>310</v>
      </c>
    </row>
    <row r="55" customFormat="false" ht="15" hidden="false" customHeight="false" outlineLevel="0" collapsed="false">
      <c r="A55" s="10" t="n">
        <v>51</v>
      </c>
      <c r="B55" s="13" t="s">
        <v>311</v>
      </c>
      <c r="C55" s="8" t="s">
        <v>35</v>
      </c>
      <c r="D55" s="8" t="s">
        <v>312</v>
      </c>
      <c r="E55" s="8" t="s">
        <v>47</v>
      </c>
      <c r="F55" s="27" t="n">
        <v>2</v>
      </c>
      <c r="G55" s="28" t="n">
        <f aca="false">INDEX(Rollout!$C$7:$C$9,F55)</f>
        <v>2028</v>
      </c>
      <c r="H55" s="23" t="s">
        <v>293</v>
      </c>
      <c r="I55" s="27" t="n">
        <v>31</v>
      </c>
      <c r="J55" s="27" t="n">
        <v>2</v>
      </c>
      <c r="K55" s="23" t="s">
        <v>20</v>
      </c>
      <c r="L55" s="18" t="str">
        <f aca="false">INDEX(Assumptions!$B$23:$B$25,MATCH(K55,Assumptions!$A$23:$A$25,0))</f>
        <v>Golfzon Vision Standard</v>
      </c>
      <c r="M55" s="11" t="n">
        <f aca="false">J55*INDEX(Assumptions!$D$23:$D$25,MATCH(K55,Assumptions!$A$23:$A$25,0))</f>
        <v>1683500</v>
      </c>
      <c r="N55" s="10" t="n">
        <f aca="false">J55*INDEX(Assumptions!$G$23:$G$25,MATCH(K55,Assumptions!$A$23:$A$25,0))</f>
        <v>3564</v>
      </c>
      <c r="O55" s="12" t="n">
        <f aca="false">J55*INDEX(Assumptions!$H$23:$H$25,MATCH(K55,Assumptions!$A$23:$A$25,0))</f>
        <v>1283040</v>
      </c>
      <c r="P55" s="12" t="n">
        <f aca="false">J55*INDEX(Assumptions!$M$23:$M$25,MATCH(K55,Assumptions!$A$23:$A$25,0))</f>
        <v>1818191.01470588</v>
      </c>
      <c r="Q55" s="12" t="n">
        <f aca="false">J55*INDEX(Assumptions!$N$23:$N$25,MATCH(K55,Assumptions!$A$23:$A$25,0))</f>
        <v>353638.202941177</v>
      </c>
      <c r="R55" s="6" t="s">
        <v>313</v>
      </c>
      <c r="S55" s="6"/>
      <c r="T55" s="29" t="s">
        <v>314</v>
      </c>
    </row>
    <row r="56" customFormat="false" ht="15" hidden="false" customHeight="false" outlineLevel="0" collapsed="false">
      <c r="A56" s="10" t="n">
        <v>52</v>
      </c>
      <c r="B56" s="13" t="s">
        <v>315</v>
      </c>
      <c r="C56" s="8" t="s">
        <v>35</v>
      </c>
      <c r="D56" s="8" t="s">
        <v>202</v>
      </c>
      <c r="E56" s="8" t="s">
        <v>47</v>
      </c>
      <c r="F56" s="27" t="n">
        <v>2</v>
      </c>
      <c r="G56" s="28" t="n">
        <f aca="false">INDEX(Rollout!$C$7:$C$9,F56)</f>
        <v>2028</v>
      </c>
      <c r="H56" s="23" t="s">
        <v>293</v>
      </c>
      <c r="I56" s="27" t="n">
        <v>32</v>
      </c>
      <c r="J56" s="27" t="n">
        <v>2</v>
      </c>
      <c r="K56" s="23" t="s">
        <v>20</v>
      </c>
      <c r="L56" s="18" t="str">
        <f aca="false">INDEX(Assumptions!$B$23:$B$25,MATCH(K56,Assumptions!$A$23:$A$25,0))</f>
        <v>Golfzon Vision Standard</v>
      </c>
      <c r="M56" s="11" t="n">
        <f aca="false">J56*INDEX(Assumptions!$D$23:$D$25,MATCH(K56,Assumptions!$A$23:$A$25,0))</f>
        <v>1683500</v>
      </c>
      <c r="N56" s="10" t="n">
        <f aca="false">J56*INDEX(Assumptions!$G$23:$G$25,MATCH(K56,Assumptions!$A$23:$A$25,0))</f>
        <v>3564</v>
      </c>
      <c r="O56" s="12" t="n">
        <f aca="false">J56*INDEX(Assumptions!$H$23:$H$25,MATCH(K56,Assumptions!$A$23:$A$25,0))</f>
        <v>1283040</v>
      </c>
      <c r="P56" s="12" t="n">
        <f aca="false">J56*INDEX(Assumptions!$M$23:$M$25,MATCH(K56,Assumptions!$A$23:$A$25,0))</f>
        <v>1818191.01470588</v>
      </c>
      <c r="Q56" s="12" t="n">
        <f aca="false">J56*INDEX(Assumptions!$N$23:$N$25,MATCH(K56,Assumptions!$A$23:$A$25,0))</f>
        <v>353638.202941177</v>
      </c>
      <c r="R56" s="6" t="s">
        <v>316</v>
      </c>
      <c r="S56" s="6"/>
      <c r="T56" s="29" t="s">
        <v>317</v>
      </c>
    </row>
    <row r="57" customFormat="false" ht="15" hidden="false" customHeight="false" outlineLevel="0" collapsed="false">
      <c r="A57" s="10" t="n">
        <v>53</v>
      </c>
      <c r="B57" s="13" t="s">
        <v>318</v>
      </c>
      <c r="C57" s="8" t="s">
        <v>35</v>
      </c>
      <c r="D57" s="8" t="s">
        <v>202</v>
      </c>
      <c r="E57" s="8" t="s">
        <v>47</v>
      </c>
      <c r="F57" s="27" t="n">
        <v>2</v>
      </c>
      <c r="G57" s="28" t="n">
        <f aca="false">INDEX(Rollout!$C$7:$C$9,F57)</f>
        <v>2028</v>
      </c>
      <c r="H57" s="23" t="s">
        <v>293</v>
      </c>
      <c r="I57" s="27" t="n">
        <v>33</v>
      </c>
      <c r="J57" s="27" t="n">
        <v>2</v>
      </c>
      <c r="K57" s="23" t="s">
        <v>20</v>
      </c>
      <c r="L57" s="18" t="str">
        <f aca="false">INDEX(Assumptions!$B$23:$B$25,MATCH(K57,Assumptions!$A$23:$A$25,0))</f>
        <v>Golfzon Vision Standard</v>
      </c>
      <c r="M57" s="11" t="n">
        <f aca="false">J57*INDEX(Assumptions!$D$23:$D$25,MATCH(K57,Assumptions!$A$23:$A$25,0))</f>
        <v>1683500</v>
      </c>
      <c r="N57" s="10" t="n">
        <f aca="false">J57*INDEX(Assumptions!$G$23:$G$25,MATCH(K57,Assumptions!$A$23:$A$25,0))</f>
        <v>3564</v>
      </c>
      <c r="O57" s="12" t="n">
        <f aca="false">J57*INDEX(Assumptions!$H$23:$H$25,MATCH(K57,Assumptions!$A$23:$A$25,0))</f>
        <v>1283040</v>
      </c>
      <c r="P57" s="12" t="n">
        <f aca="false">J57*INDEX(Assumptions!$M$23:$M$25,MATCH(K57,Assumptions!$A$23:$A$25,0))</f>
        <v>1818191.01470588</v>
      </c>
      <c r="Q57" s="12" t="n">
        <f aca="false">J57*INDEX(Assumptions!$N$23:$N$25,MATCH(K57,Assumptions!$A$23:$A$25,0))</f>
        <v>353638.202941177</v>
      </c>
      <c r="R57" s="6" t="s">
        <v>316</v>
      </c>
      <c r="S57" s="6"/>
      <c r="T57" s="29" t="s">
        <v>319</v>
      </c>
    </row>
    <row r="58" customFormat="false" ht="15" hidden="false" customHeight="false" outlineLevel="0" collapsed="false">
      <c r="A58" s="10" t="n">
        <v>54</v>
      </c>
      <c r="B58" s="13" t="s">
        <v>320</v>
      </c>
      <c r="C58" s="8" t="s">
        <v>35</v>
      </c>
      <c r="D58" s="8" t="s">
        <v>321</v>
      </c>
      <c r="E58" s="8" t="s">
        <v>47</v>
      </c>
      <c r="F58" s="27" t="n">
        <v>2</v>
      </c>
      <c r="G58" s="28" t="n">
        <f aca="false">INDEX(Rollout!$C$7:$C$9,F58)</f>
        <v>2028</v>
      </c>
      <c r="H58" s="23" t="s">
        <v>293</v>
      </c>
      <c r="I58" s="27" t="n">
        <v>34</v>
      </c>
      <c r="J58" s="27" t="n">
        <v>2</v>
      </c>
      <c r="K58" s="23" t="s">
        <v>20</v>
      </c>
      <c r="L58" s="18" t="str">
        <f aca="false">INDEX(Assumptions!$B$23:$B$25,MATCH(K58,Assumptions!$A$23:$A$25,0))</f>
        <v>Golfzon Vision Standard</v>
      </c>
      <c r="M58" s="11" t="n">
        <f aca="false">J58*INDEX(Assumptions!$D$23:$D$25,MATCH(K58,Assumptions!$A$23:$A$25,0))</f>
        <v>1683500</v>
      </c>
      <c r="N58" s="10" t="n">
        <f aca="false">J58*INDEX(Assumptions!$G$23:$G$25,MATCH(K58,Assumptions!$A$23:$A$25,0))</f>
        <v>3564</v>
      </c>
      <c r="O58" s="12" t="n">
        <f aca="false">J58*INDEX(Assumptions!$H$23:$H$25,MATCH(K58,Assumptions!$A$23:$A$25,0))</f>
        <v>1283040</v>
      </c>
      <c r="P58" s="12" t="n">
        <f aca="false">J58*INDEX(Assumptions!$M$23:$M$25,MATCH(K58,Assumptions!$A$23:$A$25,0))</f>
        <v>1818191.01470588</v>
      </c>
      <c r="Q58" s="12" t="n">
        <f aca="false">J58*INDEX(Assumptions!$N$23:$N$25,MATCH(K58,Assumptions!$A$23:$A$25,0))</f>
        <v>353638.202941177</v>
      </c>
      <c r="R58" s="6" t="s">
        <v>322</v>
      </c>
      <c r="S58" s="6"/>
      <c r="T58" s="29" t="s">
        <v>323</v>
      </c>
    </row>
    <row r="59" customFormat="false" ht="15" hidden="false" customHeight="false" outlineLevel="0" collapsed="false">
      <c r="A59" s="10" t="n">
        <v>55</v>
      </c>
      <c r="B59" s="13" t="s">
        <v>324</v>
      </c>
      <c r="C59" s="8" t="s">
        <v>35</v>
      </c>
      <c r="D59" s="8" t="s">
        <v>321</v>
      </c>
      <c r="E59" s="8" t="s">
        <v>47</v>
      </c>
      <c r="F59" s="27" t="n">
        <v>2</v>
      </c>
      <c r="G59" s="28" t="n">
        <f aca="false">INDEX(Rollout!$C$7:$C$9,F59)</f>
        <v>2028</v>
      </c>
      <c r="H59" s="23" t="s">
        <v>293</v>
      </c>
      <c r="I59" s="27" t="n">
        <v>35</v>
      </c>
      <c r="J59" s="27" t="n">
        <v>2</v>
      </c>
      <c r="K59" s="23" t="s">
        <v>20</v>
      </c>
      <c r="L59" s="18" t="str">
        <f aca="false">INDEX(Assumptions!$B$23:$B$25,MATCH(K59,Assumptions!$A$23:$A$25,0))</f>
        <v>Golfzon Vision Standard</v>
      </c>
      <c r="M59" s="11" t="n">
        <f aca="false">J59*INDEX(Assumptions!$D$23:$D$25,MATCH(K59,Assumptions!$A$23:$A$25,0))</f>
        <v>1683500</v>
      </c>
      <c r="N59" s="10" t="n">
        <f aca="false">J59*INDEX(Assumptions!$G$23:$G$25,MATCH(K59,Assumptions!$A$23:$A$25,0))</f>
        <v>3564</v>
      </c>
      <c r="O59" s="12" t="n">
        <f aca="false">J59*INDEX(Assumptions!$H$23:$H$25,MATCH(K59,Assumptions!$A$23:$A$25,0))</f>
        <v>1283040</v>
      </c>
      <c r="P59" s="12" t="n">
        <f aca="false">J59*INDEX(Assumptions!$M$23:$M$25,MATCH(K59,Assumptions!$A$23:$A$25,0))</f>
        <v>1818191.01470588</v>
      </c>
      <c r="Q59" s="12" t="n">
        <f aca="false">J59*INDEX(Assumptions!$N$23:$N$25,MATCH(K59,Assumptions!$A$23:$A$25,0))</f>
        <v>353638.202941177</v>
      </c>
      <c r="R59" s="6" t="s">
        <v>322</v>
      </c>
      <c r="S59" s="6"/>
      <c r="T59" s="29" t="s">
        <v>325</v>
      </c>
    </row>
    <row r="60" customFormat="false" ht="15" hidden="false" customHeight="false" outlineLevel="0" collapsed="false">
      <c r="A60" s="10" t="n">
        <v>56</v>
      </c>
      <c r="B60" s="13" t="s">
        <v>326</v>
      </c>
      <c r="C60" s="8" t="s">
        <v>35</v>
      </c>
      <c r="D60" s="8" t="s">
        <v>327</v>
      </c>
      <c r="E60" s="8" t="s">
        <v>47</v>
      </c>
      <c r="F60" s="27" t="n">
        <v>2</v>
      </c>
      <c r="G60" s="28" t="n">
        <f aca="false">INDEX(Rollout!$C$7:$C$9,F60)</f>
        <v>2028</v>
      </c>
      <c r="H60" s="23" t="s">
        <v>293</v>
      </c>
      <c r="I60" s="27" t="n">
        <v>36</v>
      </c>
      <c r="J60" s="27" t="n">
        <v>2</v>
      </c>
      <c r="K60" s="23" t="s">
        <v>20</v>
      </c>
      <c r="L60" s="18" t="str">
        <f aca="false">INDEX(Assumptions!$B$23:$B$25,MATCH(K60,Assumptions!$A$23:$A$25,0))</f>
        <v>Golfzon Vision Standard</v>
      </c>
      <c r="M60" s="11" t="n">
        <f aca="false">J60*INDEX(Assumptions!$D$23:$D$25,MATCH(K60,Assumptions!$A$23:$A$25,0))</f>
        <v>1683500</v>
      </c>
      <c r="N60" s="10" t="n">
        <f aca="false">J60*INDEX(Assumptions!$G$23:$G$25,MATCH(K60,Assumptions!$A$23:$A$25,0))</f>
        <v>3564</v>
      </c>
      <c r="O60" s="12" t="n">
        <f aca="false">J60*INDEX(Assumptions!$H$23:$H$25,MATCH(K60,Assumptions!$A$23:$A$25,0))</f>
        <v>1283040</v>
      </c>
      <c r="P60" s="12" t="n">
        <f aca="false">J60*INDEX(Assumptions!$M$23:$M$25,MATCH(K60,Assumptions!$A$23:$A$25,0))</f>
        <v>1818191.01470588</v>
      </c>
      <c r="Q60" s="12" t="n">
        <f aca="false">J60*INDEX(Assumptions!$N$23:$N$25,MATCH(K60,Assumptions!$A$23:$A$25,0))</f>
        <v>353638.202941177</v>
      </c>
      <c r="R60" s="6" t="s">
        <v>328</v>
      </c>
      <c r="S60" s="6"/>
      <c r="T60" s="29" t="s">
        <v>329</v>
      </c>
    </row>
    <row r="61" customFormat="false" ht="15" hidden="false" customHeight="false" outlineLevel="0" collapsed="false">
      <c r="A61" s="10" t="n">
        <v>57</v>
      </c>
      <c r="B61" s="13" t="s">
        <v>330</v>
      </c>
      <c r="C61" s="8" t="s">
        <v>35</v>
      </c>
      <c r="D61" s="8" t="s">
        <v>327</v>
      </c>
      <c r="E61" s="8" t="s">
        <v>47</v>
      </c>
      <c r="F61" s="27" t="n">
        <v>2</v>
      </c>
      <c r="G61" s="28" t="n">
        <f aca="false">INDEX(Rollout!$C$7:$C$9,F61)</f>
        <v>2028</v>
      </c>
      <c r="H61" s="23" t="s">
        <v>293</v>
      </c>
      <c r="I61" s="27" t="n">
        <v>37</v>
      </c>
      <c r="J61" s="27" t="n">
        <v>2</v>
      </c>
      <c r="K61" s="23" t="s">
        <v>20</v>
      </c>
      <c r="L61" s="18" t="str">
        <f aca="false">INDEX(Assumptions!$B$23:$B$25,MATCH(K61,Assumptions!$A$23:$A$25,0))</f>
        <v>Golfzon Vision Standard</v>
      </c>
      <c r="M61" s="11" t="n">
        <f aca="false">J61*INDEX(Assumptions!$D$23:$D$25,MATCH(K61,Assumptions!$A$23:$A$25,0))</f>
        <v>1683500</v>
      </c>
      <c r="N61" s="10" t="n">
        <f aca="false">J61*INDEX(Assumptions!$G$23:$G$25,MATCH(K61,Assumptions!$A$23:$A$25,0))</f>
        <v>3564</v>
      </c>
      <c r="O61" s="12" t="n">
        <f aca="false">J61*INDEX(Assumptions!$H$23:$H$25,MATCH(K61,Assumptions!$A$23:$A$25,0))</f>
        <v>1283040</v>
      </c>
      <c r="P61" s="12" t="n">
        <f aca="false">J61*INDEX(Assumptions!$M$23:$M$25,MATCH(K61,Assumptions!$A$23:$A$25,0))</f>
        <v>1818191.01470588</v>
      </c>
      <c r="Q61" s="12" t="n">
        <f aca="false">J61*INDEX(Assumptions!$N$23:$N$25,MATCH(K61,Assumptions!$A$23:$A$25,0))</f>
        <v>353638.202941177</v>
      </c>
      <c r="R61" s="6" t="s">
        <v>328</v>
      </c>
      <c r="S61" s="6"/>
      <c r="T61" s="29" t="s">
        <v>331</v>
      </c>
    </row>
    <row r="62" customFormat="false" ht="15" hidden="false" customHeight="false" outlineLevel="0" collapsed="false">
      <c r="A62" s="10" t="n">
        <v>58</v>
      </c>
      <c r="B62" s="13" t="s">
        <v>332</v>
      </c>
      <c r="C62" s="8" t="s">
        <v>35</v>
      </c>
      <c r="D62" s="8" t="s">
        <v>333</v>
      </c>
      <c r="E62" s="8" t="s">
        <v>47</v>
      </c>
      <c r="F62" s="27" t="n">
        <v>2</v>
      </c>
      <c r="G62" s="28" t="n">
        <f aca="false">INDEX(Rollout!$C$7:$C$9,F62)</f>
        <v>2028</v>
      </c>
      <c r="H62" s="23" t="s">
        <v>293</v>
      </c>
      <c r="I62" s="27" t="n">
        <v>38</v>
      </c>
      <c r="J62" s="27" t="n">
        <v>2</v>
      </c>
      <c r="K62" s="23" t="s">
        <v>20</v>
      </c>
      <c r="L62" s="18" t="str">
        <f aca="false">INDEX(Assumptions!$B$23:$B$25,MATCH(K62,Assumptions!$A$23:$A$25,0))</f>
        <v>Golfzon Vision Standard</v>
      </c>
      <c r="M62" s="11" t="n">
        <f aca="false">J62*INDEX(Assumptions!$D$23:$D$25,MATCH(K62,Assumptions!$A$23:$A$25,0))</f>
        <v>1683500</v>
      </c>
      <c r="N62" s="10" t="n">
        <f aca="false">J62*INDEX(Assumptions!$G$23:$G$25,MATCH(K62,Assumptions!$A$23:$A$25,0))</f>
        <v>3564</v>
      </c>
      <c r="O62" s="12" t="n">
        <f aca="false">J62*INDEX(Assumptions!$H$23:$H$25,MATCH(K62,Assumptions!$A$23:$A$25,0))</f>
        <v>1283040</v>
      </c>
      <c r="P62" s="12" t="n">
        <f aca="false">J62*INDEX(Assumptions!$M$23:$M$25,MATCH(K62,Assumptions!$A$23:$A$25,0))</f>
        <v>1818191.01470588</v>
      </c>
      <c r="Q62" s="12" t="n">
        <f aca="false">J62*INDEX(Assumptions!$N$23:$N$25,MATCH(K62,Assumptions!$A$23:$A$25,0))</f>
        <v>353638.202941177</v>
      </c>
      <c r="R62" s="6" t="s">
        <v>334</v>
      </c>
      <c r="S62" s="6"/>
      <c r="T62" s="29" t="s">
        <v>335</v>
      </c>
    </row>
    <row r="63" customFormat="false" ht="15" hidden="false" customHeight="false" outlineLevel="0" collapsed="false">
      <c r="A63" s="10" t="n">
        <v>59</v>
      </c>
      <c r="B63" s="13" t="s">
        <v>336</v>
      </c>
      <c r="C63" s="8" t="s">
        <v>36</v>
      </c>
      <c r="D63" s="8" t="s">
        <v>210</v>
      </c>
      <c r="E63" s="8" t="s">
        <v>47</v>
      </c>
      <c r="F63" s="27" t="n">
        <v>2</v>
      </c>
      <c r="G63" s="28" t="n">
        <f aca="false">INDEX(Rollout!$C$7:$C$9,F63)</f>
        <v>2028</v>
      </c>
      <c r="H63" s="23" t="s">
        <v>293</v>
      </c>
      <c r="I63" s="27" t="n">
        <v>39</v>
      </c>
      <c r="J63" s="27" t="n">
        <v>2</v>
      </c>
      <c r="K63" s="23" t="s">
        <v>20</v>
      </c>
      <c r="L63" s="18" t="str">
        <f aca="false">INDEX(Assumptions!$B$23:$B$25,MATCH(K63,Assumptions!$A$23:$A$25,0))</f>
        <v>Golfzon Vision Standard</v>
      </c>
      <c r="M63" s="11" t="n">
        <f aca="false">J63*INDEX(Assumptions!$D$23:$D$25,MATCH(K63,Assumptions!$A$23:$A$25,0))</f>
        <v>1683500</v>
      </c>
      <c r="N63" s="10" t="n">
        <f aca="false">J63*INDEX(Assumptions!$G$23:$G$25,MATCH(K63,Assumptions!$A$23:$A$25,0))</f>
        <v>3564</v>
      </c>
      <c r="O63" s="12" t="n">
        <f aca="false">J63*INDEX(Assumptions!$H$23:$H$25,MATCH(K63,Assumptions!$A$23:$A$25,0))</f>
        <v>1283040</v>
      </c>
      <c r="P63" s="12" t="n">
        <f aca="false">J63*INDEX(Assumptions!$M$23:$M$25,MATCH(K63,Assumptions!$A$23:$A$25,0))</f>
        <v>1818191.01470588</v>
      </c>
      <c r="Q63" s="12" t="n">
        <f aca="false">J63*INDEX(Assumptions!$N$23:$N$25,MATCH(K63,Assumptions!$A$23:$A$25,0))</f>
        <v>353638.202941177</v>
      </c>
      <c r="R63" s="6" t="s">
        <v>337</v>
      </c>
      <c r="S63" s="6"/>
      <c r="T63" s="29" t="s">
        <v>338</v>
      </c>
    </row>
    <row r="64" customFormat="false" ht="15" hidden="false" customHeight="false" outlineLevel="0" collapsed="false">
      <c r="A64" s="10" t="n">
        <v>60</v>
      </c>
      <c r="B64" s="13" t="s">
        <v>339</v>
      </c>
      <c r="C64" s="8" t="s">
        <v>36</v>
      </c>
      <c r="D64" s="8" t="s">
        <v>206</v>
      </c>
      <c r="E64" s="8" t="s">
        <v>47</v>
      </c>
      <c r="F64" s="27" t="n">
        <v>2</v>
      </c>
      <c r="G64" s="28" t="n">
        <f aca="false">INDEX(Rollout!$C$7:$C$9,F64)</f>
        <v>2028</v>
      </c>
      <c r="H64" s="23" t="s">
        <v>293</v>
      </c>
      <c r="I64" s="27" t="n">
        <v>40</v>
      </c>
      <c r="J64" s="27" t="n">
        <v>2</v>
      </c>
      <c r="K64" s="23" t="s">
        <v>20</v>
      </c>
      <c r="L64" s="18" t="str">
        <f aca="false">INDEX(Assumptions!$B$23:$B$25,MATCH(K64,Assumptions!$A$23:$A$25,0))</f>
        <v>Golfzon Vision Standard</v>
      </c>
      <c r="M64" s="11" t="n">
        <f aca="false">J64*INDEX(Assumptions!$D$23:$D$25,MATCH(K64,Assumptions!$A$23:$A$25,0))</f>
        <v>1683500</v>
      </c>
      <c r="N64" s="10" t="n">
        <f aca="false">J64*INDEX(Assumptions!$G$23:$G$25,MATCH(K64,Assumptions!$A$23:$A$25,0))</f>
        <v>3564</v>
      </c>
      <c r="O64" s="12" t="n">
        <f aca="false">J64*INDEX(Assumptions!$H$23:$H$25,MATCH(K64,Assumptions!$A$23:$A$25,0))</f>
        <v>1283040</v>
      </c>
      <c r="P64" s="12" t="n">
        <f aca="false">J64*INDEX(Assumptions!$M$23:$M$25,MATCH(K64,Assumptions!$A$23:$A$25,0))</f>
        <v>1818191.01470588</v>
      </c>
      <c r="Q64" s="12" t="n">
        <f aca="false">J64*INDEX(Assumptions!$N$23:$N$25,MATCH(K64,Assumptions!$A$23:$A$25,0))</f>
        <v>353638.202941177</v>
      </c>
      <c r="R64" s="6" t="s">
        <v>340</v>
      </c>
      <c r="S64" s="6"/>
      <c r="T64" s="29" t="s">
        <v>341</v>
      </c>
    </row>
    <row r="65" customFormat="false" ht="15" hidden="false" customHeight="false" outlineLevel="0" collapsed="false">
      <c r="A65" s="10" t="n">
        <v>61</v>
      </c>
      <c r="B65" s="13" t="s">
        <v>342</v>
      </c>
      <c r="C65" s="8" t="s">
        <v>36</v>
      </c>
      <c r="D65" s="8" t="s">
        <v>343</v>
      </c>
      <c r="E65" s="8" t="s">
        <v>47</v>
      </c>
      <c r="F65" s="27" t="n">
        <v>2</v>
      </c>
      <c r="G65" s="28" t="n">
        <f aca="false">INDEX(Rollout!$C$7:$C$9,F65)</f>
        <v>2028</v>
      </c>
      <c r="H65" s="23" t="s">
        <v>293</v>
      </c>
      <c r="I65" s="27" t="n">
        <v>41</v>
      </c>
      <c r="J65" s="27" t="n">
        <v>2</v>
      </c>
      <c r="K65" s="23" t="s">
        <v>20</v>
      </c>
      <c r="L65" s="18" t="str">
        <f aca="false">INDEX(Assumptions!$B$23:$B$25,MATCH(K65,Assumptions!$A$23:$A$25,0))</f>
        <v>Golfzon Vision Standard</v>
      </c>
      <c r="M65" s="11" t="n">
        <f aca="false">J65*INDEX(Assumptions!$D$23:$D$25,MATCH(K65,Assumptions!$A$23:$A$25,0))</f>
        <v>1683500</v>
      </c>
      <c r="N65" s="10" t="n">
        <f aca="false">J65*INDEX(Assumptions!$G$23:$G$25,MATCH(K65,Assumptions!$A$23:$A$25,0))</f>
        <v>3564</v>
      </c>
      <c r="O65" s="12" t="n">
        <f aca="false">J65*INDEX(Assumptions!$H$23:$H$25,MATCH(K65,Assumptions!$A$23:$A$25,0))</f>
        <v>1283040</v>
      </c>
      <c r="P65" s="12" t="n">
        <f aca="false">J65*INDEX(Assumptions!$M$23:$M$25,MATCH(K65,Assumptions!$A$23:$A$25,0))</f>
        <v>1818191.01470588</v>
      </c>
      <c r="Q65" s="12" t="n">
        <f aca="false">J65*INDEX(Assumptions!$N$23:$N$25,MATCH(K65,Assumptions!$A$23:$A$25,0))</f>
        <v>353638.202941177</v>
      </c>
      <c r="R65" s="6" t="s">
        <v>344</v>
      </c>
      <c r="S65" s="6"/>
      <c r="T65" s="29" t="s">
        <v>345</v>
      </c>
    </row>
    <row r="66" customFormat="false" ht="15" hidden="false" customHeight="false" outlineLevel="0" collapsed="false">
      <c r="A66" s="10" t="n">
        <v>62</v>
      </c>
      <c r="B66" s="13" t="s">
        <v>346</v>
      </c>
      <c r="C66" s="8" t="s">
        <v>36</v>
      </c>
      <c r="D66" s="8" t="s">
        <v>343</v>
      </c>
      <c r="E66" s="8" t="s">
        <v>47</v>
      </c>
      <c r="F66" s="27" t="n">
        <v>2</v>
      </c>
      <c r="G66" s="28" t="n">
        <f aca="false">INDEX(Rollout!$C$7:$C$9,F66)</f>
        <v>2028</v>
      </c>
      <c r="H66" s="23" t="s">
        <v>293</v>
      </c>
      <c r="I66" s="27" t="n">
        <v>42</v>
      </c>
      <c r="J66" s="27" t="n">
        <v>2</v>
      </c>
      <c r="K66" s="23" t="s">
        <v>20</v>
      </c>
      <c r="L66" s="18" t="str">
        <f aca="false">INDEX(Assumptions!$B$23:$B$25,MATCH(K66,Assumptions!$A$23:$A$25,0))</f>
        <v>Golfzon Vision Standard</v>
      </c>
      <c r="M66" s="11" t="n">
        <f aca="false">J66*INDEX(Assumptions!$D$23:$D$25,MATCH(K66,Assumptions!$A$23:$A$25,0))</f>
        <v>1683500</v>
      </c>
      <c r="N66" s="10" t="n">
        <f aca="false">J66*INDEX(Assumptions!$G$23:$G$25,MATCH(K66,Assumptions!$A$23:$A$25,0))</f>
        <v>3564</v>
      </c>
      <c r="O66" s="12" t="n">
        <f aca="false">J66*INDEX(Assumptions!$H$23:$H$25,MATCH(K66,Assumptions!$A$23:$A$25,0))</f>
        <v>1283040</v>
      </c>
      <c r="P66" s="12" t="n">
        <f aca="false">J66*INDEX(Assumptions!$M$23:$M$25,MATCH(K66,Assumptions!$A$23:$A$25,0))</f>
        <v>1818191.01470588</v>
      </c>
      <c r="Q66" s="12" t="n">
        <f aca="false">J66*INDEX(Assumptions!$N$23:$N$25,MATCH(K66,Assumptions!$A$23:$A$25,0))</f>
        <v>353638.202941177</v>
      </c>
      <c r="R66" s="6" t="s">
        <v>344</v>
      </c>
      <c r="S66" s="6"/>
      <c r="T66" s="29" t="s">
        <v>347</v>
      </c>
    </row>
    <row r="67" customFormat="false" ht="15" hidden="false" customHeight="false" outlineLevel="0" collapsed="false">
      <c r="A67" s="10" t="n">
        <v>63</v>
      </c>
      <c r="B67" s="13" t="s">
        <v>348</v>
      </c>
      <c r="C67" s="8" t="s">
        <v>36</v>
      </c>
      <c r="D67" s="8" t="s">
        <v>349</v>
      </c>
      <c r="E67" s="8" t="s">
        <v>47</v>
      </c>
      <c r="F67" s="27" t="n">
        <v>2</v>
      </c>
      <c r="G67" s="28" t="n">
        <f aca="false">INDEX(Rollout!$C$7:$C$9,F67)</f>
        <v>2028</v>
      </c>
      <c r="H67" s="23" t="s">
        <v>293</v>
      </c>
      <c r="I67" s="27" t="n">
        <v>43</v>
      </c>
      <c r="J67" s="27" t="n">
        <v>2</v>
      </c>
      <c r="K67" s="23" t="s">
        <v>20</v>
      </c>
      <c r="L67" s="18" t="str">
        <f aca="false">INDEX(Assumptions!$B$23:$B$25,MATCH(K67,Assumptions!$A$23:$A$25,0))</f>
        <v>Golfzon Vision Standard</v>
      </c>
      <c r="M67" s="11" t="n">
        <f aca="false">J67*INDEX(Assumptions!$D$23:$D$25,MATCH(K67,Assumptions!$A$23:$A$25,0))</f>
        <v>1683500</v>
      </c>
      <c r="N67" s="10" t="n">
        <f aca="false">J67*INDEX(Assumptions!$G$23:$G$25,MATCH(K67,Assumptions!$A$23:$A$25,0))</f>
        <v>3564</v>
      </c>
      <c r="O67" s="12" t="n">
        <f aca="false">J67*INDEX(Assumptions!$H$23:$H$25,MATCH(K67,Assumptions!$A$23:$A$25,0))</f>
        <v>1283040</v>
      </c>
      <c r="P67" s="12" t="n">
        <f aca="false">J67*INDEX(Assumptions!$M$23:$M$25,MATCH(K67,Assumptions!$A$23:$A$25,0))</f>
        <v>1818191.01470588</v>
      </c>
      <c r="Q67" s="12" t="n">
        <f aca="false">J67*INDEX(Assumptions!$N$23:$N$25,MATCH(K67,Assumptions!$A$23:$A$25,0))</f>
        <v>353638.202941177</v>
      </c>
      <c r="R67" s="6" t="s">
        <v>350</v>
      </c>
      <c r="S67" s="6"/>
      <c r="T67" s="29" t="s">
        <v>351</v>
      </c>
    </row>
    <row r="68" customFormat="false" ht="15" hidden="false" customHeight="false" outlineLevel="0" collapsed="false">
      <c r="A68" s="10" t="n">
        <v>64</v>
      </c>
      <c r="B68" s="13" t="s">
        <v>352</v>
      </c>
      <c r="C68" s="8" t="s">
        <v>36</v>
      </c>
      <c r="D68" s="8" t="s">
        <v>352</v>
      </c>
      <c r="E68" s="8" t="s">
        <v>47</v>
      </c>
      <c r="F68" s="27" t="n">
        <v>2</v>
      </c>
      <c r="G68" s="28" t="n">
        <f aca="false">INDEX(Rollout!$C$7:$C$9,F68)</f>
        <v>2028</v>
      </c>
      <c r="H68" s="23" t="s">
        <v>293</v>
      </c>
      <c r="I68" s="27" t="n">
        <v>44</v>
      </c>
      <c r="J68" s="27" t="n">
        <v>2</v>
      </c>
      <c r="K68" s="23" t="s">
        <v>20</v>
      </c>
      <c r="L68" s="18" t="str">
        <f aca="false">INDEX(Assumptions!$B$23:$B$25,MATCH(K68,Assumptions!$A$23:$A$25,0))</f>
        <v>Golfzon Vision Standard</v>
      </c>
      <c r="M68" s="11" t="n">
        <f aca="false">J68*INDEX(Assumptions!$D$23:$D$25,MATCH(K68,Assumptions!$A$23:$A$25,0))</f>
        <v>1683500</v>
      </c>
      <c r="N68" s="10" t="n">
        <f aca="false">J68*INDEX(Assumptions!$G$23:$G$25,MATCH(K68,Assumptions!$A$23:$A$25,0))</f>
        <v>3564</v>
      </c>
      <c r="O68" s="12" t="n">
        <f aca="false">J68*INDEX(Assumptions!$H$23:$H$25,MATCH(K68,Assumptions!$A$23:$A$25,0))</f>
        <v>1283040</v>
      </c>
      <c r="P68" s="12" t="n">
        <f aca="false">J68*INDEX(Assumptions!$M$23:$M$25,MATCH(K68,Assumptions!$A$23:$A$25,0))</f>
        <v>1818191.01470588</v>
      </c>
      <c r="Q68" s="12" t="n">
        <f aca="false">J68*INDEX(Assumptions!$N$23:$N$25,MATCH(K68,Assumptions!$A$23:$A$25,0))</f>
        <v>353638.202941177</v>
      </c>
      <c r="R68" s="6" t="s">
        <v>353</v>
      </c>
      <c r="S68" s="6"/>
      <c r="T68" s="29" t="s">
        <v>354</v>
      </c>
    </row>
    <row r="69" customFormat="false" ht="15" hidden="false" customHeight="false" outlineLevel="0" collapsed="false">
      <c r="A69" s="10" t="n">
        <v>65</v>
      </c>
      <c r="B69" s="13" t="s">
        <v>355</v>
      </c>
      <c r="C69" s="8" t="s">
        <v>36</v>
      </c>
      <c r="D69" s="8" t="s">
        <v>356</v>
      </c>
      <c r="E69" s="8" t="s">
        <v>47</v>
      </c>
      <c r="F69" s="27" t="n">
        <v>2</v>
      </c>
      <c r="G69" s="28" t="n">
        <f aca="false">INDEX(Rollout!$C$7:$C$9,F69)</f>
        <v>2028</v>
      </c>
      <c r="H69" s="23" t="s">
        <v>293</v>
      </c>
      <c r="I69" s="27" t="n">
        <v>45</v>
      </c>
      <c r="J69" s="27" t="n">
        <v>2</v>
      </c>
      <c r="K69" s="23" t="s">
        <v>20</v>
      </c>
      <c r="L69" s="18" t="str">
        <f aca="false">INDEX(Assumptions!$B$23:$B$25,MATCH(K69,Assumptions!$A$23:$A$25,0))</f>
        <v>Golfzon Vision Standard</v>
      </c>
      <c r="M69" s="11" t="n">
        <f aca="false">J69*INDEX(Assumptions!$D$23:$D$25,MATCH(K69,Assumptions!$A$23:$A$25,0))</f>
        <v>1683500</v>
      </c>
      <c r="N69" s="10" t="n">
        <f aca="false">J69*INDEX(Assumptions!$G$23:$G$25,MATCH(K69,Assumptions!$A$23:$A$25,0))</f>
        <v>3564</v>
      </c>
      <c r="O69" s="12" t="n">
        <f aca="false">J69*INDEX(Assumptions!$H$23:$H$25,MATCH(K69,Assumptions!$A$23:$A$25,0))</f>
        <v>1283040</v>
      </c>
      <c r="P69" s="12" t="n">
        <f aca="false">J69*INDEX(Assumptions!$M$23:$M$25,MATCH(K69,Assumptions!$A$23:$A$25,0))</f>
        <v>1818191.01470588</v>
      </c>
      <c r="Q69" s="12" t="n">
        <f aca="false">J69*INDEX(Assumptions!$N$23:$N$25,MATCH(K69,Assumptions!$A$23:$A$25,0))</f>
        <v>353638.202941177</v>
      </c>
      <c r="R69" s="6" t="s">
        <v>357</v>
      </c>
      <c r="S69" s="6"/>
      <c r="T69" s="29" t="s">
        <v>358</v>
      </c>
    </row>
    <row r="70" customFormat="false" ht="15" hidden="false" customHeight="false" outlineLevel="0" collapsed="false">
      <c r="A70" s="10" t="n">
        <v>66</v>
      </c>
      <c r="B70" s="13" t="s">
        <v>359</v>
      </c>
      <c r="C70" s="8" t="s">
        <v>36</v>
      </c>
      <c r="D70" s="8" t="s">
        <v>360</v>
      </c>
      <c r="E70" s="8" t="s">
        <v>47</v>
      </c>
      <c r="F70" s="27" t="n">
        <v>2</v>
      </c>
      <c r="G70" s="28" t="n">
        <f aca="false">INDEX(Rollout!$C$7:$C$9,F70)</f>
        <v>2028</v>
      </c>
      <c r="H70" s="23" t="s">
        <v>293</v>
      </c>
      <c r="I70" s="27" t="n">
        <v>46</v>
      </c>
      <c r="J70" s="27" t="n">
        <v>2</v>
      </c>
      <c r="K70" s="23" t="s">
        <v>20</v>
      </c>
      <c r="L70" s="18" t="str">
        <f aca="false">INDEX(Assumptions!$B$23:$B$25,MATCH(K70,Assumptions!$A$23:$A$25,0))</f>
        <v>Golfzon Vision Standard</v>
      </c>
      <c r="M70" s="11" t="n">
        <f aca="false">J70*INDEX(Assumptions!$D$23:$D$25,MATCH(K70,Assumptions!$A$23:$A$25,0))</f>
        <v>1683500</v>
      </c>
      <c r="N70" s="10" t="n">
        <f aca="false">J70*INDEX(Assumptions!$G$23:$G$25,MATCH(K70,Assumptions!$A$23:$A$25,0))</f>
        <v>3564</v>
      </c>
      <c r="O70" s="12" t="n">
        <f aca="false">J70*INDEX(Assumptions!$H$23:$H$25,MATCH(K70,Assumptions!$A$23:$A$25,0))</f>
        <v>1283040</v>
      </c>
      <c r="P70" s="12" t="n">
        <f aca="false">J70*INDEX(Assumptions!$M$23:$M$25,MATCH(K70,Assumptions!$A$23:$A$25,0))</f>
        <v>1818191.01470588</v>
      </c>
      <c r="Q70" s="12" t="n">
        <f aca="false">J70*INDEX(Assumptions!$N$23:$N$25,MATCH(K70,Assumptions!$A$23:$A$25,0))</f>
        <v>353638.202941177</v>
      </c>
      <c r="R70" s="6" t="s">
        <v>361</v>
      </c>
      <c r="S70" s="6"/>
      <c r="T70" s="29" t="s">
        <v>362</v>
      </c>
    </row>
    <row r="71" customFormat="false" ht="15" hidden="false" customHeight="false" outlineLevel="0" collapsed="false">
      <c r="A71" s="10" t="n">
        <v>67</v>
      </c>
      <c r="B71" s="13" t="s">
        <v>363</v>
      </c>
      <c r="C71" s="8" t="s">
        <v>37</v>
      </c>
      <c r="D71" s="8" t="s">
        <v>364</v>
      </c>
      <c r="E71" s="8" t="s">
        <v>47</v>
      </c>
      <c r="F71" s="27" t="n">
        <v>2</v>
      </c>
      <c r="G71" s="28" t="n">
        <f aca="false">INDEX(Rollout!$C$7:$C$9,F71)</f>
        <v>2028</v>
      </c>
      <c r="H71" s="23" t="s">
        <v>293</v>
      </c>
      <c r="I71" s="27" t="n">
        <v>47</v>
      </c>
      <c r="J71" s="27" t="n">
        <v>2</v>
      </c>
      <c r="K71" s="23" t="s">
        <v>20</v>
      </c>
      <c r="L71" s="18" t="str">
        <f aca="false">INDEX(Assumptions!$B$23:$B$25,MATCH(K71,Assumptions!$A$23:$A$25,0))</f>
        <v>Golfzon Vision Standard</v>
      </c>
      <c r="M71" s="11" t="n">
        <f aca="false">J71*INDEX(Assumptions!$D$23:$D$25,MATCH(K71,Assumptions!$A$23:$A$25,0))</f>
        <v>1683500</v>
      </c>
      <c r="N71" s="10" t="n">
        <f aca="false">J71*INDEX(Assumptions!$G$23:$G$25,MATCH(K71,Assumptions!$A$23:$A$25,0))</f>
        <v>3564</v>
      </c>
      <c r="O71" s="12" t="n">
        <f aca="false">J71*INDEX(Assumptions!$H$23:$H$25,MATCH(K71,Assumptions!$A$23:$A$25,0))</f>
        <v>1283040</v>
      </c>
      <c r="P71" s="12" t="n">
        <f aca="false">J71*INDEX(Assumptions!$M$23:$M$25,MATCH(K71,Assumptions!$A$23:$A$25,0))</f>
        <v>1818191.01470588</v>
      </c>
      <c r="Q71" s="12" t="n">
        <f aca="false">J71*INDEX(Assumptions!$N$23:$N$25,MATCH(K71,Assumptions!$A$23:$A$25,0))</f>
        <v>353638.202941177</v>
      </c>
      <c r="R71" s="6" t="s">
        <v>365</v>
      </c>
      <c r="S71" s="6"/>
      <c r="T71" s="29" t="s">
        <v>366</v>
      </c>
    </row>
    <row r="72" customFormat="false" ht="15" hidden="false" customHeight="false" outlineLevel="0" collapsed="false">
      <c r="A72" s="10" t="n">
        <v>68</v>
      </c>
      <c r="B72" s="13" t="s">
        <v>367</v>
      </c>
      <c r="C72" s="8" t="s">
        <v>37</v>
      </c>
      <c r="D72" s="8" t="s">
        <v>368</v>
      </c>
      <c r="E72" s="8" t="s">
        <v>47</v>
      </c>
      <c r="F72" s="27" t="n">
        <v>2</v>
      </c>
      <c r="G72" s="28" t="n">
        <f aca="false">INDEX(Rollout!$C$7:$C$9,F72)</f>
        <v>2028</v>
      </c>
      <c r="H72" s="23" t="s">
        <v>293</v>
      </c>
      <c r="I72" s="27" t="n">
        <v>48</v>
      </c>
      <c r="J72" s="27" t="n">
        <v>2</v>
      </c>
      <c r="K72" s="23" t="s">
        <v>20</v>
      </c>
      <c r="L72" s="18" t="str">
        <f aca="false">INDEX(Assumptions!$B$23:$B$25,MATCH(K72,Assumptions!$A$23:$A$25,0))</f>
        <v>Golfzon Vision Standard</v>
      </c>
      <c r="M72" s="11" t="n">
        <f aca="false">J72*INDEX(Assumptions!$D$23:$D$25,MATCH(K72,Assumptions!$A$23:$A$25,0))</f>
        <v>1683500</v>
      </c>
      <c r="N72" s="10" t="n">
        <f aca="false">J72*INDEX(Assumptions!$G$23:$G$25,MATCH(K72,Assumptions!$A$23:$A$25,0))</f>
        <v>3564</v>
      </c>
      <c r="O72" s="12" t="n">
        <f aca="false">J72*INDEX(Assumptions!$H$23:$H$25,MATCH(K72,Assumptions!$A$23:$A$25,0))</f>
        <v>1283040</v>
      </c>
      <c r="P72" s="12" t="n">
        <f aca="false">J72*INDEX(Assumptions!$M$23:$M$25,MATCH(K72,Assumptions!$A$23:$A$25,0))</f>
        <v>1818191.01470588</v>
      </c>
      <c r="Q72" s="12" t="n">
        <f aca="false">J72*INDEX(Assumptions!$N$23:$N$25,MATCH(K72,Assumptions!$A$23:$A$25,0))</f>
        <v>353638.202941177</v>
      </c>
      <c r="R72" s="6" t="s">
        <v>369</v>
      </c>
      <c r="S72" s="6"/>
      <c r="T72" s="29" t="s">
        <v>370</v>
      </c>
    </row>
    <row r="73" customFormat="false" ht="15" hidden="false" customHeight="false" outlineLevel="0" collapsed="false">
      <c r="A73" s="10" t="n">
        <v>69</v>
      </c>
      <c r="B73" s="13" t="s">
        <v>371</v>
      </c>
      <c r="C73" s="8" t="s">
        <v>37</v>
      </c>
      <c r="D73" s="8" t="s">
        <v>364</v>
      </c>
      <c r="E73" s="8" t="s">
        <v>47</v>
      </c>
      <c r="F73" s="27" t="n">
        <v>2</v>
      </c>
      <c r="G73" s="28" t="n">
        <f aca="false">INDEX(Rollout!$C$7:$C$9,F73)</f>
        <v>2028</v>
      </c>
      <c r="H73" s="23" t="s">
        <v>293</v>
      </c>
      <c r="I73" s="27" t="n">
        <v>49</v>
      </c>
      <c r="J73" s="27" t="n">
        <v>2</v>
      </c>
      <c r="K73" s="23" t="s">
        <v>20</v>
      </c>
      <c r="L73" s="18" t="str">
        <f aca="false">INDEX(Assumptions!$B$23:$B$25,MATCH(K73,Assumptions!$A$23:$A$25,0))</f>
        <v>Golfzon Vision Standard</v>
      </c>
      <c r="M73" s="11" t="n">
        <f aca="false">J73*INDEX(Assumptions!$D$23:$D$25,MATCH(K73,Assumptions!$A$23:$A$25,0))</f>
        <v>1683500</v>
      </c>
      <c r="N73" s="10" t="n">
        <f aca="false">J73*INDEX(Assumptions!$G$23:$G$25,MATCH(K73,Assumptions!$A$23:$A$25,0))</f>
        <v>3564</v>
      </c>
      <c r="O73" s="12" t="n">
        <f aca="false">J73*INDEX(Assumptions!$H$23:$H$25,MATCH(K73,Assumptions!$A$23:$A$25,0))</f>
        <v>1283040</v>
      </c>
      <c r="P73" s="12" t="n">
        <f aca="false">J73*INDEX(Assumptions!$M$23:$M$25,MATCH(K73,Assumptions!$A$23:$A$25,0))</f>
        <v>1818191.01470588</v>
      </c>
      <c r="Q73" s="12" t="n">
        <f aca="false">J73*INDEX(Assumptions!$N$23:$N$25,MATCH(K73,Assumptions!$A$23:$A$25,0))</f>
        <v>353638.202941177</v>
      </c>
      <c r="R73" s="6" t="s">
        <v>365</v>
      </c>
      <c r="S73" s="6"/>
      <c r="T73" s="29" t="s">
        <v>372</v>
      </c>
    </row>
    <row r="74" customFormat="false" ht="15" hidden="false" customHeight="false" outlineLevel="0" collapsed="false">
      <c r="A74" s="10" t="n">
        <v>70</v>
      </c>
      <c r="B74" s="13" t="s">
        <v>373</v>
      </c>
      <c r="C74" s="8" t="s">
        <v>38</v>
      </c>
      <c r="D74" s="8" t="s">
        <v>374</v>
      </c>
      <c r="E74" s="8" t="s">
        <v>47</v>
      </c>
      <c r="F74" s="27" t="n">
        <v>2</v>
      </c>
      <c r="G74" s="28" t="n">
        <f aca="false">INDEX(Rollout!$C$7:$C$9,F74)</f>
        <v>2028</v>
      </c>
      <c r="H74" s="23" t="s">
        <v>293</v>
      </c>
      <c r="I74" s="27" t="n">
        <v>50</v>
      </c>
      <c r="J74" s="27" t="n">
        <v>2</v>
      </c>
      <c r="K74" s="23" t="s">
        <v>20</v>
      </c>
      <c r="L74" s="18" t="str">
        <f aca="false">INDEX(Assumptions!$B$23:$B$25,MATCH(K74,Assumptions!$A$23:$A$25,0))</f>
        <v>Golfzon Vision Standard</v>
      </c>
      <c r="M74" s="11" t="n">
        <f aca="false">J74*INDEX(Assumptions!$D$23:$D$25,MATCH(K74,Assumptions!$A$23:$A$25,0))</f>
        <v>1683500</v>
      </c>
      <c r="N74" s="10" t="n">
        <f aca="false">J74*INDEX(Assumptions!$G$23:$G$25,MATCH(K74,Assumptions!$A$23:$A$25,0))</f>
        <v>3564</v>
      </c>
      <c r="O74" s="12" t="n">
        <f aca="false">J74*INDEX(Assumptions!$H$23:$H$25,MATCH(K74,Assumptions!$A$23:$A$25,0))</f>
        <v>1283040</v>
      </c>
      <c r="P74" s="12" t="n">
        <f aca="false">J74*INDEX(Assumptions!$M$23:$M$25,MATCH(K74,Assumptions!$A$23:$A$25,0))</f>
        <v>1818191.01470588</v>
      </c>
      <c r="Q74" s="12" t="n">
        <f aca="false">J74*INDEX(Assumptions!$N$23:$N$25,MATCH(K74,Assumptions!$A$23:$A$25,0))</f>
        <v>353638.202941177</v>
      </c>
      <c r="R74" s="6" t="s">
        <v>375</v>
      </c>
      <c r="S74" s="6"/>
      <c r="T74" s="29" t="s">
        <v>376</v>
      </c>
    </row>
    <row r="75" customFormat="false" ht="23.85" hidden="false" customHeight="false" outlineLevel="0" collapsed="false">
      <c r="A75" s="10" t="n">
        <v>71</v>
      </c>
      <c r="B75" s="13" t="s">
        <v>377</v>
      </c>
      <c r="C75" s="8" t="s">
        <v>35</v>
      </c>
      <c r="D75" s="8" t="s">
        <v>378</v>
      </c>
      <c r="E75" s="8" t="s">
        <v>148</v>
      </c>
      <c r="F75" s="27" t="n">
        <v>3</v>
      </c>
      <c r="G75" s="28" t="n">
        <f aca="false">INDEX(Rollout!$C$7:$C$9,F75)</f>
        <v>2029</v>
      </c>
      <c r="H75" s="23" t="s">
        <v>379</v>
      </c>
      <c r="I75" s="27" t="n">
        <v>1</v>
      </c>
      <c r="J75" s="27" t="n">
        <v>1</v>
      </c>
      <c r="K75" s="23" t="s">
        <v>20</v>
      </c>
      <c r="L75" s="18" t="str">
        <f aca="false">INDEX(Assumptions!$B$23:$B$25,MATCH(K75,Assumptions!$A$23:$A$25,0))</f>
        <v>Golfzon Vision Standard</v>
      </c>
      <c r="M75" s="11" t="n">
        <f aca="false">J75*INDEX(Assumptions!$D$23:$D$25,MATCH(K75,Assumptions!$A$23:$A$25,0))</f>
        <v>841750</v>
      </c>
      <c r="N75" s="10" t="n">
        <f aca="false">J75*INDEX(Assumptions!$G$23:$G$25,MATCH(K75,Assumptions!$A$23:$A$25,0))</f>
        <v>1782</v>
      </c>
      <c r="O75" s="12" t="n">
        <f aca="false">J75*INDEX(Assumptions!$H$23:$H$25,MATCH(K75,Assumptions!$A$23:$A$25,0))</f>
        <v>641520</v>
      </c>
      <c r="P75" s="12" t="n">
        <f aca="false">J75*INDEX(Assumptions!$M$23:$M$25,MATCH(K75,Assumptions!$A$23:$A$25,0))</f>
        <v>909095.507352941</v>
      </c>
      <c r="Q75" s="12" t="n">
        <f aca="false">J75*INDEX(Assumptions!$N$23:$N$25,MATCH(K75,Assumptions!$A$23:$A$25,0))</f>
        <v>176819.101470588</v>
      </c>
      <c r="R75" s="6" t="s">
        <v>380</v>
      </c>
      <c r="S75" s="6" t="s">
        <v>381</v>
      </c>
      <c r="T75" s="29" t="s">
        <v>382</v>
      </c>
    </row>
    <row r="76" customFormat="false" ht="15" hidden="false" customHeight="false" outlineLevel="0" collapsed="false">
      <c r="A76" s="10" t="n">
        <v>72</v>
      </c>
      <c r="B76" s="13" t="s">
        <v>383</v>
      </c>
      <c r="C76" s="8" t="s">
        <v>34</v>
      </c>
      <c r="D76" s="8" t="s">
        <v>153</v>
      </c>
      <c r="E76" s="8" t="s">
        <v>47</v>
      </c>
      <c r="F76" s="27" t="n">
        <v>3</v>
      </c>
      <c r="G76" s="28" t="n">
        <f aca="false">INDEX(Rollout!$C$7:$C$9,F76)</f>
        <v>2029</v>
      </c>
      <c r="H76" s="23" t="s">
        <v>379</v>
      </c>
      <c r="I76" s="27" t="n">
        <v>2</v>
      </c>
      <c r="J76" s="27" t="n">
        <v>1</v>
      </c>
      <c r="K76" s="23" t="s">
        <v>20</v>
      </c>
      <c r="L76" s="18" t="str">
        <f aca="false">INDEX(Assumptions!$B$23:$B$25,MATCH(K76,Assumptions!$A$23:$A$25,0))</f>
        <v>Golfzon Vision Standard</v>
      </c>
      <c r="M76" s="11" t="n">
        <f aca="false">J76*INDEX(Assumptions!$D$23:$D$25,MATCH(K76,Assumptions!$A$23:$A$25,0))</f>
        <v>841750</v>
      </c>
      <c r="N76" s="10" t="n">
        <f aca="false">J76*INDEX(Assumptions!$G$23:$G$25,MATCH(K76,Assumptions!$A$23:$A$25,0))</f>
        <v>1782</v>
      </c>
      <c r="O76" s="12" t="n">
        <f aca="false">J76*INDEX(Assumptions!$H$23:$H$25,MATCH(K76,Assumptions!$A$23:$A$25,0))</f>
        <v>641520</v>
      </c>
      <c r="P76" s="12" t="n">
        <f aca="false">J76*INDEX(Assumptions!$M$23:$M$25,MATCH(K76,Assumptions!$A$23:$A$25,0))</f>
        <v>909095.507352941</v>
      </c>
      <c r="Q76" s="12" t="n">
        <f aca="false">J76*INDEX(Assumptions!$N$23:$N$25,MATCH(K76,Assumptions!$A$23:$A$25,0))</f>
        <v>176819.101470588</v>
      </c>
      <c r="R76" s="6" t="s">
        <v>384</v>
      </c>
      <c r="S76" s="6"/>
      <c r="T76" s="29" t="s">
        <v>385</v>
      </c>
    </row>
    <row r="77" customFormat="false" ht="15" hidden="false" customHeight="false" outlineLevel="0" collapsed="false">
      <c r="A77" s="10" t="n">
        <v>73</v>
      </c>
      <c r="B77" s="13" t="s">
        <v>386</v>
      </c>
      <c r="C77" s="8" t="s">
        <v>34</v>
      </c>
      <c r="D77" s="8" t="s">
        <v>153</v>
      </c>
      <c r="E77" s="8" t="s">
        <v>47</v>
      </c>
      <c r="F77" s="27" t="n">
        <v>3</v>
      </c>
      <c r="G77" s="28" t="n">
        <f aca="false">INDEX(Rollout!$C$7:$C$9,F77)</f>
        <v>2029</v>
      </c>
      <c r="H77" s="23" t="s">
        <v>379</v>
      </c>
      <c r="I77" s="27" t="n">
        <v>3</v>
      </c>
      <c r="J77" s="27" t="n">
        <v>1</v>
      </c>
      <c r="K77" s="23" t="s">
        <v>20</v>
      </c>
      <c r="L77" s="18" t="str">
        <f aca="false">INDEX(Assumptions!$B$23:$B$25,MATCH(K77,Assumptions!$A$23:$A$25,0))</f>
        <v>Golfzon Vision Standard</v>
      </c>
      <c r="M77" s="11" t="n">
        <f aca="false">J77*INDEX(Assumptions!$D$23:$D$25,MATCH(K77,Assumptions!$A$23:$A$25,0))</f>
        <v>841750</v>
      </c>
      <c r="N77" s="10" t="n">
        <f aca="false">J77*INDEX(Assumptions!$G$23:$G$25,MATCH(K77,Assumptions!$A$23:$A$25,0))</f>
        <v>1782</v>
      </c>
      <c r="O77" s="12" t="n">
        <f aca="false">J77*INDEX(Assumptions!$H$23:$H$25,MATCH(K77,Assumptions!$A$23:$A$25,0))</f>
        <v>641520</v>
      </c>
      <c r="P77" s="12" t="n">
        <f aca="false">J77*INDEX(Assumptions!$M$23:$M$25,MATCH(K77,Assumptions!$A$23:$A$25,0))</f>
        <v>909095.507352941</v>
      </c>
      <c r="Q77" s="12" t="n">
        <f aca="false">J77*INDEX(Assumptions!$N$23:$N$25,MATCH(K77,Assumptions!$A$23:$A$25,0))</f>
        <v>176819.101470588</v>
      </c>
      <c r="R77" s="6" t="s">
        <v>384</v>
      </c>
      <c r="S77" s="6"/>
      <c r="T77" s="29" t="s">
        <v>387</v>
      </c>
    </row>
    <row r="78" customFormat="false" ht="15" hidden="false" customHeight="false" outlineLevel="0" collapsed="false">
      <c r="A78" s="10" t="n">
        <v>74</v>
      </c>
      <c r="B78" s="13" t="s">
        <v>239</v>
      </c>
      <c r="C78" s="8" t="s">
        <v>34</v>
      </c>
      <c r="D78" s="8" t="s">
        <v>239</v>
      </c>
      <c r="E78" s="8" t="s">
        <v>47</v>
      </c>
      <c r="F78" s="27" t="n">
        <v>3</v>
      </c>
      <c r="G78" s="28" t="n">
        <f aca="false">INDEX(Rollout!$C$7:$C$9,F78)</f>
        <v>2029</v>
      </c>
      <c r="H78" s="23" t="s">
        <v>379</v>
      </c>
      <c r="I78" s="27" t="n">
        <v>4</v>
      </c>
      <c r="J78" s="27" t="n">
        <v>1</v>
      </c>
      <c r="K78" s="23" t="s">
        <v>20</v>
      </c>
      <c r="L78" s="18" t="str">
        <f aca="false">INDEX(Assumptions!$B$23:$B$25,MATCH(K78,Assumptions!$A$23:$A$25,0))</f>
        <v>Golfzon Vision Standard</v>
      </c>
      <c r="M78" s="11" t="n">
        <f aca="false">J78*INDEX(Assumptions!$D$23:$D$25,MATCH(K78,Assumptions!$A$23:$A$25,0))</f>
        <v>841750</v>
      </c>
      <c r="N78" s="10" t="n">
        <f aca="false">J78*INDEX(Assumptions!$G$23:$G$25,MATCH(K78,Assumptions!$A$23:$A$25,0))</f>
        <v>1782</v>
      </c>
      <c r="O78" s="12" t="n">
        <f aca="false">J78*INDEX(Assumptions!$H$23:$H$25,MATCH(K78,Assumptions!$A$23:$A$25,0))</f>
        <v>641520</v>
      </c>
      <c r="P78" s="12" t="n">
        <f aca="false">J78*INDEX(Assumptions!$M$23:$M$25,MATCH(K78,Assumptions!$A$23:$A$25,0))</f>
        <v>909095.507352941</v>
      </c>
      <c r="Q78" s="12" t="n">
        <f aca="false">J78*INDEX(Assumptions!$N$23:$N$25,MATCH(K78,Assumptions!$A$23:$A$25,0))</f>
        <v>176819.101470588</v>
      </c>
      <c r="R78" s="6" t="s">
        <v>388</v>
      </c>
      <c r="S78" s="6"/>
      <c r="T78" s="29" t="s">
        <v>389</v>
      </c>
    </row>
    <row r="79" customFormat="false" ht="15" hidden="false" customHeight="false" outlineLevel="0" collapsed="false">
      <c r="A79" s="10" t="n">
        <v>75</v>
      </c>
      <c r="B79" s="13" t="s">
        <v>390</v>
      </c>
      <c r="C79" s="8" t="s">
        <v>34</v>
      </c>
      <c r="D79" s="8" t="s">
        <v>239</v>
      </c>
      <c r="E79" s="8" t="s">
        <v>47</v>
      </c>
      <c r="F79" s="27" t="n">
        <v>3</v>
      </c>
      <c r="G79" s="28" t="n">
        <f aca="false">INDEX(Rollout!$C$7:$C$9,F79)</f>
        <v>2029</v>
      </c>
      <c r="H79" s="23" t="s">
        <v>379</v>
      </c>
      <c r="I79" s="27" t="n">
        <v>5</v>
      </c>
      <c r="J79" s="27" t="n">
        <v>1</v>
      </c>
      <c r="K79" s="23" t="s">
        <v>20</v>
      </c>
      <c r="L79" s="18" t="str">
        <f aca="false">INDEX(Assumptions!$B$23:$B$25,MATCH(K79,Assumptions!$A$23:$A$25,0))</f>
        <v>Golfzon Vision Standard</v>
      </c>
      <c r="M79" s="11" t="n">
        <f aca="false">J79*INDEX(Assumptions!$D$23:$D$25,MATCH(K79,Assumptions!$A$23:$A$25,0))</f>
        <v>841750</v>
      </c>
      <c r="N79" s="10" t="n">
        <f aca="false">J79*INDEX(Assumptions!$G$23:$G$25,MATCH(K79,Assumptions!$A$23:$A$25,0))</f>
        <v>1782</v>
      </c>
      <c r="O79" s="12" t="n">
        <f aca="false">J79*INDEX(Assumptions!$H$23:$H$25,MATCH(K79,Assumptions!$A$23:$A$25,0))</f>
        <v>641520</v>
      </c>
      <c r="P79" s="12" t="n">
        <f aca="false">J79*INDEX(Assumptions!$M$23:$M$25,MATCH(K79,Assumptions!$A$23:$A$25,0))</f>
        <v>909095.507352941</v>
      </c>
      <c r="Q79" s="12" t="n">
        <f aca="false">J79*INDEX(Assumptions!$N$23:$N$25,MATCH(K79,Assumptions!$A$23:$A$25,0))</f>
        <v>176819.101470588</v>
      </c>
      <c r="R79" s="6" t="s">
        <v>388</v>
      </c>
      <c r="S79" s="6"/>
      <c r="T79" s="29" t="s">
        <v>391</v>
      </c>
    </row>
    <row r="80" customFormat="false" ht="15" hidden="false" customHeight="false" outlineLevel="0" collapsed="false">
      <c r="A80" s="10" t="n">
        <v>76</v>
      </c>
      <c r="B80" s="13" t="s">
        <v>392</v>
      </c>
      <c r="C80" s="8" t="s">
        <v>34</v>
      </c>
      <c r="D80" s="8" t="s">
        <v>239</v>
      </c>
      <c r="E80" s="8" t="s">
        <v>47</v>
      </c>
      <c r="F80" s="27" t="n">
        <v>3</v>
      </c>
      <c r="G80" s="28" t="n">
        <f aca="false">INDEX(Rollout!$C$7:$C$9,F80)</f>
        <v>2029</v>
      </c>
      <c r="H80" s="23" t="s">
        <v>379</v>
      </c>
      <c r="I80" s="27" t="n">
        <v>6</v>
      </c>
      <c r="J80" s="27" t="n">
        <v>1</v>
      </c>
      <c r="K80" s="23" t="s">
        <v>20</v>
      </c>
      <c r="L80" s="18" t="str">
        <f aca="false">INDEX(Assumptions!$B$23:$B$25,MATCH(K80,Assumptions!$A$23:$A$25,0))</f>
        <v>Golfzon Vision Standard</v>
      </c>
      <c r="M80" s="11" t="n">
        <f aca="false">J80*INDEX(Assumptions!$D$23:$D$25,MATCH(K80,Assumptions!$A$23:$A$25,0))</f>
        <v>841750</v>
      </c>
      <c r="N80" s="10" t="n">
        <f aca="false">J80*INDEX(Assumptions!$G$23:$G$25,MATCH(K80,Assumptions!$A$23:$A$25,0))</f>
        <v>1782</v>
      </c>
      <c r="O80" s="12" t="n">
        <f aca="false">J80*INDEX(Assumptions!$H$23:$H$25,MATCH(K80,Assumptions!$A$23:$A$25,0))</f>
        <v>641520</v>
      </c>
      <c r="P80" s="12" t="n">
        <f aca="false">J80*INDEX(Assumptions!$M$23:$M$25,MATCH(K80,Assumptions!$A$23:$A$25,0))</f>
        <v>909095.507352941</v>
      </c>
      <c r="Q80" s="12" t="n">
        <f aca="false">J80*INDEX(Assumptions!$N$23:$N$25,MATCH(K80,Assumptions!$A$23:$A$25,0))</f>
        <v>176819.101470588</v>
      </c>
      <c r="R80" s="6" t="s">
        <v>388</v>
      </c>
      <c r="S80" s="6"/>
      <c r="T80" s="29" t="s">
        <v>393</v>
      </c>
    </row>
    <row r="81" customFormat="false" ht="15" hidden="false" customHeight="false" outlineLevel="0" collapsed="false">
      <c r="A81" s="10" t="n">
        <v>77</v>
      </c>
      <c r="B81" s="13" t="s">
        <v>394</v>
      </c>
      <c r="C81" s="8" t="s">
        <v>34</v>
      </c>
      <c r="D81" s="8" t="s">
        <v>243</v>
      </c>
      <c r="E81" s="8" t="s">
        <v>47</v>
      </c>
      <c r="F81" s="27" t="n">
        <v>3</v>
      </c>
      <c r="G81" s="28" t="n">
        <f aca="false">INDEX(Rollout!$C$7:$C$9,F81)</f>
        <v>2029</v>
      </c>
      <c r="H81" s="23" t="s">
        <v>379</v>
      </c>
      <c r="I81" s="27" t="n">
        <v>7</v>
      </c>
      <c r="J81" s="27" t="n">
        <v>1</v>
      </c>
      <c r="K81" s="23" t="s">
        <v>20</v>
      </c>
      <c r="L81" s="18" t="str">
        <f aca="false">INDEX(Assumptions!$B$23:$B$25,MATCH(K81,Assumptions!$A$23:$A$25,0))</f>
        <v>Golfzon Vision Standard</v>
      </c>
      <c r="M81" s="11" t="n">
        <f aca="false">J81*INDEX(Assumptions!$D$23:$D$25,MATCH(K81,Assumptions!$A$23:$A$25,0))</f>
        <v>841750</v>
      </c>
      <c r="N81" s="10" t="n">
        <f aca="false">J81*INDEX(Assumptions!$G$23:$G$25,MATCH(K81,Assumptions!$A$23:$A$25,0))</f>
        <v>1782</v>
      </c>
      <c r="O81" s="12" t="n">
        <f aca="false">J81*INDEX(Assumptions!$H$23:$H$25,MATCH(K81,Assumptions!$A$23:$A$25,0))</f>
        <v>641520</v>
      </c>
      <c r="P81" s="12" t="n">
        <f aca="false">J81*INDEX(Assumptions!$M$23:$M$25,MATCH(K81,Assumptions!$A$23:$A$25,0))</f>
        <v>909095.507352941</v>
      </c>
      <c r="Q81" s="12" t="n">
        <f aca="false">J81*INDEX(Assumptions!$N$23:$N$25,MATCH(K81,Assumptions!$A$23:$A$25,0))</f>
        <v>176819.101470588</v>
      </c>
      <c r="R81" s="6" t="s">
        <v>395</v>
      </c>
      <c r="S81" s="6"/>
      <c r="T81" s="29" t="s">
        <v>396</v>
      </c>
    </row>
    <row r="82" customFormat="false" ht="15" hidden="false" customHeight="false" outlineLevel="0" collapsed="false">
      <c r="A82" s="10" t="n">
        <v>78</v>
      </c>
      <c r="B82" s="13" t="s">
        <v>397</v>
      </c>
      <c r="C82" s="8" t="s">
        <v>34</v>
      </c>
      <c r="D82" s="8" t="s">
        <v>264</v>
      </c>
      <c r="E82" s="8" t="s">
        <v>47</v>
      </c>
      <c r="F82" s="27" t="n">
        <v>3</v>
      </c>
      <c r="G82" s="28" t="n">
        <f aca="false">INDEX(Rollout!$C$7:$C$9,F82)</f>
        <v>2029</v>
      </c>
      <c r="H82" s="23" t="s">
        <v>379</v>
      </c>
      <c r="I82" s="27" t="n">
        <v>8</v>
      </c>
      <c r="J82" s="27" t="n">
        <v>1</v>
      </c>
      <c r="K82" s="23" t="s">
        <v>20</v>
      </c>
      <c r="L82" s="18" t="str">
        <f aca="false">INDEX(Assumptions!$B$23:$B$25,MATCH(K82,Assumptions!$A$23:$A$25,0))</f>
        <v>Golfzon Vision Standard</v>
      </c>
      <c r="M82" s="11" t="n">
        <f aca="false">J82*INDEX(Assumptions!$D$23:$D$25,MATCH(K82,Assumptions!$A$23:$A$25,0))</f>
        <v>841750</v>
      </c>
      <c r="N82" s="10" t="n">
        <f aca="false">J82*INDEX(Assumptions!$G$23:$G$25,MATCH(K82,Assumptions!$A$23:$A$25,0))</f>
        <v>1782</v>
      </c>
      <c r="O82" s="12" t="n">
        <f aca="false">J82*INDEX(Assumptions!$H$23:$H$25,MATCH(K82,Assumptions!$A$23:$A$25,0))</f>
        <v>641520</v>
      </c>
      <c r="P82" s="12" t="n">
        <f aca="false">J82*INDEX(Assumptions!$M$23:$M$25,MATCH(K82,Assumptions!$A$23:$A$25,0))</f>
        <v>909095.507352941</v>
      </c>
      <c r="Q82" s="12" t="n">
        <f aca="false">J82*INDEX(Assumptions!$N$23:$N$25,MATCH(K82,Assumptions!$A$23:$A$25,0))</f>
        <v>176819.101470588</v>
      </c>
      <c r="R82" s="6" t="s">
        <v>398</v>
      </c>
      <c r="S82" s="6"/>
      <c r="T82" s="29" t="s">
        <v>399</v>
      </c>
    </row>
    <row r="83" customFormat="false" ht="15" hidden="false" customHeight="false" outlineLevel="0" collapsed="false">
      <c r="A83" s="10" t="n">
        <v>79</v>
      </c>
      <c r="B83" s="13" t="s">
        <v>400</v>
      </c>
      <c r="C83" s="8" t="s">
        <v>34</v>
      </c>
      <c r="D83" s="8" t="s">
        <v>264</v>
      </c>
      <c r="E83" s="8" t="s">
        <v>47</v>
      </c>
      <c r="F83" s="27" t="n">
        <v>3</v>
      </c>
      <c r="G83" s="28" t="n">
        <f aca="false">INDEX(Rollout!$C$7:$C$9,F83)</f>
        <v>2029</v>
      </c>
      <c r="H83" s="23" t="s">
        <v>379</v>
      </c>
      <c r="I83" s="27" t="n">
        <v>9</v>
      </c>
      <c r="J83" s="27" t="n">
        <v>1</v>
      </c>
      <c r="K83" s="23" t="s">
        <v>20</v>
      </c>
      <c r="L83" s="18" t="str">
        <f aca="false">INDEX(Assumptions!$B$23:$B$25,MATCH(K83,Assumptions!$A$23:$A$25,0))</f>
        <v>Golfzon Vision Standard</v>
      </c>
      <c r="M83" s="11" t="n">
        <f aca="false">J83*INDEX(Assumptions!$D$23:$D$25,MATCH(K83,Assumptions!$A$23:$A$25,0))</f>
        <v>841750</v>
      </c>
      <c r="N83" s="10" t="n">
        <f aca="false">J83*INDEX(Assumptions!$G$23:$G$25,MATCH(K83,Assumptions!$A$23:$A$25,0))</f>
        <v>1782</v>
      </c>
      <c r="O83" s="12" t="n">
        <f aca="false">J83*INDEX(Assumptions!$H$23:$H$25,MATCH(K83,Assumptions!$A$23:$A$25,0))</f>
        <v>641520</v>
      </c>
      <c r="P83" s="12" t="n">
        <f aca="false">J83*INDEX(Assumptions!$M$23:$M$25,MATCH(K83,Assumptions!$A$23:$A$25,0))</f>
        <v>909095.507352941</v>
      </c>
      <c r="Q83" s="12" t="n">
        <f aca="false">J83*INDEX(Assumptions!$N$23:$N$25,MATCH(K83,Assumptions!$A$23:$A$25,0))</f>
        <v>176819.101470588</v>
      </c>
      <c r="R83" s="6" t="s">
        <v>398</v>
      </c>
      <c r="S83" s="6"/>
      <c r="T83" s="29" t="s">
        <v>401</v>
      </c>
    </row>
    <row r="84" customFormat="false" ht="15" hidden="false" customHeight="false" outlineLevel="0" collapsed="false">
      <c r="A84" s="10" t="n">
        <v>80</v>
      </c>
      <c r="B84" s="13" t="s">
        <v>402</v>
      </c>
      <c r="C84" s="8" t="s">
        <v>34</v>
      </c>
      <c r="D84" s="8" t="s">
        <v>403</v>
      </c>
      <c r="E84" s="8" t="s">
        <v>47</v>
      </c>
      <c r="F84" s="27" t="n">
        <v>3</v>
      </c>
      <c r="G84" s="28" t="n">
        <f aca="false">INDEX(Rollout!$C$7:$C$9,F84)</f>
        <v>2029</v>
      </c>
      <c r="H84" s="23" t="s">
        <v>379</v>
      </c>
      <c r="I84" s="27" t="n">
        <v>10</v>
      </c>
      <c r="J84" s="27" t="n">
        <v>1</v>
      </c>
      <c r="K84" s="23" t="s">
        <v>20</v>
      </c>
      <c r="L84" s="18" t="str">
        <f aca="false">INDEX(Assumptions!$B$23:$B$25,MATCH(K84,Assumptions!$A$23:$A$25,0))</f>
        <v>Golfzon Vision Standard</v>
      </c>
      <c r="M84" s="11" t="n">
        <f aca="false">J84*INDEX(Assumptions!$D$23:$D$25,MATCH(K84,Assumptions!$A$23:$A$25,0))</f>
        <v>841750</v>
      </c>
      <c r="N84" s="10" t="n">
        <f aca="false">J84*INDEX(Assumptions!$G$23:$G$25,MATCH(K84,Assumptions!$A$23:$A$25,0))</f>
        <v>1782</v>
      </c>
      <c r="O84" s="12" t="n">
        <f aca="false">J84*INDEX(Assumptions!$H$23:$H$25,MATCH(K84,Assumptions!$A$23:$A$25,0))</f>
        <v>641520</v>
      </c>
      <c r="P84" s="12" t="n">
        <f aca="false">J84*INDEX(Assumptions!$M$23:$M$25,MATCH(K84,Assumptions!$A$23:$A$25,0))</f>
        <v>909095.507352941</v>
      </c>
      <c r="Q84" s="12" t="n">
        <f aca="false">J84*INDEX(Assumptions!$N$23:$N$25,MATCH(K84,Assumptions!$A$23:$A$25,0))</f>
        <v>176819.101470588</v>
      </c>
      <c r="R84" s="6" t="s">
        <v>404</v>
      </c>
      <c r="S84" s="6"/>
      <c r="T84" s="29" t="s">
        <v>405</v>
      </c>
    </row>
    <row r="85" customFormat="false" ht="15" hidden="false" customHeight="false" outlineLevel="0" collapsed="false">
      <c r="A85" s="10" t="n">
        <v>81</v>
      </c>
      <c r="B85" s="13" t="s">
        <v>406</v>
      </c>
      <c r="C85" s="8" t="s">
        <v>34</v>
      </c>
      <c r="D85" s="8" t="s">
        <v>270</v>
      </c>
      <c r="E85" s="8" t="s">
        <v>47</v>
      </c>
      <c r="F85" s="27" t="n">
        <v>3</v>
      </c>
      <c r="G85" s="28" t="n">
        <f aca="false">INDEX(Rollout!$C$7:$C$9,F85)</f>
        <v>2029</v>
      </c>
      <c r="H85" s="23" t="s">
        <v>379</v>
      </c>
      <c r="I85" s="27" t="n">
        <v>11</v>
      </c>
      <c r="J85" s="27" t="n">
        <v>1</v>
      </c>
      <c r="K85" s="23" t="s">
        <v>20</v>
      </c>
      <c r="L85" s="18" t="str">
        <f aca="false">INDEX(Assumptions!$B$23:$B$25,MATCH(K85,Assumptions!$A$23:$A$25,0))</f>
        <v>Golfzon Vision Standard</v>
      </c>
      <c r="M85" s="11" t="n">
        <f aca="false">J85*INDEX(Assumptions!$D$23:$D$25,MATCH(K85,Assumptions!$A$23:$A$25,0))</f>
        <v>841750</v>
      </c>
      <c r="N85" s="10" t="n">
        <f aca="false">J85*INDEX(Assumptions!$G$23:$G$25,MATCH(K85,Assumptions!$A$23:$A$25,0))</f>
        <v>1782</v>
      </c>
      <c r="O85" s="12" t="n">
        <f aca="false">J85*INDEX(Assumptions!$H$23:$H$25,MATCH(K85,Assumptions!$A$23:$A$25,0))</f>
        <v>641520</v>
      </c>
      <c r="P85" s="12" t="n">
        <f aca="false">J85*INDEX(Assumptions!$M$23:$M$25,MATCH(K85,Assumptions!$A$23:$A$25,0))</f>
        <v>909095.507352941</v>
      </c>
      <c r="Q85" s="12" t="n">
        <f aca="false">J85*INDEX(Assumptions!$N$23:$N$25,MATCH(K85,Assumptions!$A$23:$A$25,0))</f>
        <v>176819.101470588</v>
      </c>
      <c r="R85" s="6" t="s">
        <v>407</v>
      </c>
      <c r="S85" s="6"/>
      <c r="T85" s="29" t="s">
        <v>408</v>
      </c>
    </row>
    <row r="86" customFormat="false" ht="15" hidden="false" customHeight="false" outlineLevel="0" collapsed="false">
      <c r="A86" s="10" t="n">
        <v>82</v>
      </c>
      <c r="B86" s="13" t="s">
        <v>409</v>
      </c>
      <c r="C86" s="8" t="s">
        <v>34</v>
      </c>
      <c r="D86" s="8" t="s">
        <v>274</v>
      </c>
      <c r="E86" s="8" t="s">
        <v>47</v>
      </c>
      <c r="F86" s="27" t="n">
        <v>3</v>
      </c>
      <c r="G86" s="28" t="n">
        <f aca="false">INDEX(Rollout!$C$7:$C$9,F86)</f>
        <v>2029</v>
      </c>
      <c r="H86" s="23" t="s">
        <v>379</v>
      </c>
      <c r="I86" s="27" t="n">
        <v>12</v>
      </c>
      <c r="J86" s="27" t="n">
        <v>1</v>
      </c>
      <c r="K86" s="23" t="s">
        <v>20</v>
      </c>
      <c r="L86" s="18" t="str">
        <f aca="false">INDEX(Assumptions!$B$23:$B$25,MATCH(K86,Assumptions!$A$23:$A$25,0))</f>
        <v>Golfzon Vision Standard</v>
      </c>
      <c r="M86" s="11" t="n">
        <f aca="false">J86*INDEX(Assumptions!$D$23:$D$25,MATCH(K86,Assumptions!$A$23:$A$25,0))</f>
        <v>841750</v>
      </c>
      <c r="N86" s="10" t="n">
        <f aca="false">J86*INDEX(Assumptions!$G$23:$G$25,MATCH(K86,Assumptions!$A$23:$A$25,0))</f>
        <v>1782</v>
      </c>
      <c r="O86" s="12" t="n">
        <f aca="false">J86*INDEX(Assumptions!$H$23:$H$25,MATCH(K86,Assumptions!$A$23:$A$25,0))</f>
        <v>641520</v>
      </c>
      <c r="P86" s="12" t="n">
        <f aca="false">J86*INDEX(Assumptions!$M$23:$M$25,MATCH(K86,Assumptions!$A$23:$A$25,0))</f>
        <v>909095.507352941</v>
      </c>
      <c r="Q86" s="12" t="n">
        <f aca="false">J86*INDEX(Assumptions!$N$23:$N$25,MATCH(K86,Assumptions!$A$23:$A$25,0))</f>
        <v>176819.101470588</v>
      </c>
      <c r="R86" s="6" t="s">
        <v>410</v>
      </c>
      <c r="S86" s="6"/>
      <c r="T86" s="29" t="s">
        <v>411</v>
      </c>
    </row>
    <row r="87" customFormat="false" ht="15" hidden="false" customHeight="false" outlineLevel="0" collapsed="false">
      <c r="A87" s="10" t="n">
        <v>83</v>
      </c>
      <c r="B87" s="13" t="s">
        <v>412</v>
      </c>
      <c r="C87" s="8" t="s">
        <v>34</v>
      </c>
      <c r="D87" s="8" t="s">
        <v>285</v>
      </c>
      <c r="E87" s="8" t="s">
        <v>47</v>
      </c>
      <c r="F87" s="27" t="n">
        <v>3</v>
      </c>
      <c r="G87" s="28" t="n">
        <f aca="false">INDEX(Rollout!$C$7:$C$9,F87)</f>
        <v>2029</v>
      </c>
      <c r="H87" s="23" t="s">
        <v>379</v>
      </c>
      <c r="I87" s="27" t="n">
        <v>13</v>
      </c>
      <c r="J87" s="27" t="n">
        <v>1</v>
      </c>
      <c r="K87" s="23" t="s">
        <v>20</v>
      </c>
      <c r="L87" s="18" t="str">
        <f aca="false">INDEX(Assumptions!$B$23:$B$25,MATCH(K87,Assumptions!$A$23:$A$25,0))</f>
        <v>Golfzon Vision Standard</v>
      </c>
      <c r="M87" s="11" t="n">
        <f aca="false">J87*INDEX(Assumptions!$D$23:$D$25,MATCH(K87,Assumptions!$A$23:$A$25,0))</f>
        <v>841750</v>
      </c>
      <c r="N87" s="10" t="n">
        <f aca="false">J87*INDEX(Assumptions!$G$23:$G$25,MATCH(K87,Assumptions!$A$23:$A$25,0))</f>
        <v>1782</v>
      </c>
      <c r="O87" s="12" t="n">
        <f aca="false">J87*INDEX(Assumptions!$H$23:$H$25,MATCH(K87,Assumptions!$A$23:$A$25,0))</f>
        <v>641520</v>
      </c>
      <c r="P87" s="12" t="n">
        <f aca="false">J87*INDEX(Assumptions!$M$23:$M$25,MATCH(K87,Assumptions!$A$23:$A$25,0))</f>
        <v>909095.507352941</v>
      </c>
      <c r="Q87" s="12" t="n">
        <f aca="false">J87*INDEX(Assumptions!$N$23:$N$25,MATCH(K87,Assumptions!$A$23:$A$25,0))</f>
        <v>176819.101470588</v>
      </c>
      <c r="R87" s="6" t="s">
        <v>413</v>
      </c>
      <c r="S87" s="6"/>
      <c r="T87" s="29" t="s">
        <v>414</v>
      </c>
    </row>
    <row r="88" customFormat="false" ht="15" hidden="false" customHeight="false" outlineLevel="0" collapsed="false">
      <c r="A88" s="10" t="n">
        <v>84</v>
      </c>
      <c r="B88" s="13" t="s">
        <v>415</v>
      </c>
      <c r="C88" s="8" t="s">
        <v>34</v>
      </c>
      <c r="D88" s="8" t="s">
        <v>158</v>
      </c>
      <c r="E88" s="8" t="s">
        <v>47</v>
      </c>
      <c r="F88" s="27" t="n">
        <v>3</v>
      </c>
      <c r="G88" s="28" t="n">
        <f aca="false">INDEX(Rollout!$C$7:$C$9,F88)</f>
        <v>2029</v>
      </c>
      <c r="H88" s="23" t="s">
        <v>379</v>
      </c>
      <c r="I88" s="27" t="n">
        <v>14</v>
      </c>
      <c r="J88" s="27" t="n">
        <v>1</v>
      </c>
      <c r="K88" s="23" t="s">
        <v>20</v>
      </c>
      <c r="L88" s="18" t="str">
        <f aca="false">INDEX(Assumptions!$B$23:$B$25,MATCH(K88,Assumptions!$A$23:$A$25,0))</f>
        <v>Golfzon Vision Standard</v>
      </c>
      <c r="M88" s="11" t="n">
        <f aca="false">J88*INDEX(Assumptions!$D$23:$D$25,MATCH(K88,Assumptions!$A$23:$A$25,0))</f>
        <v>841750</v>
      </c>
      <c r="N88" s="10" t="n">
        <f aca="false">J88*INDEX(Assumptions!$G$23:$G$25,MATCH(K88,Assumptions!$A$23:$A$25,0))</f>
        <v>1782</v>
      </c>
      <c r="O88" s="12" t="n">
        <f aca="false">J88*INDEX(Assumptions!$H$23:$H$25,MATCH(K88,Assumptions!$A$23:$A$25,0))</f>
        <v>641520</v>
      </c>
      <c r="P88" s="12" t="n">
        <f aca="false">J88*INDEX(Assumptions!$M$23:$M$25,MATCH(K88,Assumptions!$A$23:$A$25,0))</f>
        <v>909095.507352941</v>
      </c>
      <c r="Q88" s="12" t="n">
        <f aca="false">J88*INDEX(Assumptions!$N$23:$N$25,MATCH(K88,Assumptions!$A$23:$A$25,0))</f>
        <v>176819.101470588</v>
      </c>
      <c r="R88" s="6" t="s">
        <v>416</v>
      </c>
      <c r="S88" s="6"/>
      <c r="T88" s="29" t="s">
        <v>417</v>
      </c>
    </row>
    <row r="89" customFormat="false" ht="15" hidden="false" customHeight="false" outlineLevel="0" collapsed="false">
      <c r="A89" s="10" t="n">
        <v>85</v>
      </c>
      <c r="B89" s="13" t="s">
        <v>418</v>
      </c>
      <c r="C89" s="8" t="s">
        <v>34</v>
      </c>
      <c r="D89" s="8" t="s">
        <v>158</v>
      </c>
      <c r="E89" s="8" t="s">
        <v>47</v>
      </c>
      <c r="F89" s="27" t="n">
        <v>3</v>
      </c>
      <c r="G89" s="28" t="n">
        <f aca="false">INDEX(Rollout!$C$7:$C$9,F89)</f>
        <v>2029</v>
      </c>
      <c r="H89" s="23" t="s">
        <v>379</v>
      </c>
      <c r="I89" s="27" t="n">
        <v>15</v>
      </c>
      <c r="J89" s="27" t="n">
        <v>1</v>
      </c>
      <c r="K89" s="23" t="s">
        <v>20</v>
      </c>
      <c r="L89" s="18" t="str">
        <f aca="false">INDEX(Assumptions!$B$23:$B$25,MATCH(K89,Assumptions!$A$23:$A$25,0))</f>
        <v>Golfzon Vision Standard</v>
      </c>
      <c r="M89" s="11" t="n">
        <f aca="false">J89*INDEX(Assumptions!$D$23:$D$25,MATCH(K89,Assumptions!$A$23:$A$25,0))</f>
        <v>841750</v>
      </c>
      <c r="N89" s="10" t="n">
        <f aca="false">J89*INDEX(Assumptions!$G$23:$G$25,MATCH(K89,Assumptions!$A$23:$A$25,0))</f>
        <v>1782</v>
      </c>
      <c r="O89" s="12" t="n">
        <f aca="false">J89*INDEX(Assumptions!$H$23:$H$25,MATCH(K89,Assumptions!$A$23:$A$25,0))</f>
        <v>641520</v>
      </c>
      <c r="P89" s="12" t="n">
        <f aca="false">J89*INDEX(Assumptions!$M$23:$M$25,MATCH(K89,Assumptions!$A$23:$A$25,0))</f>
        <v>909095.507352941</v>
      </c>
      <c r="Q89" s="12" t="n">
        <f aca="false">J89*INDEX(Assumptions!$N$23:$N$25,MATCH(K89,Assumptions!$A$23:$A$25,0))</f>
        <v>176819.101470588</v>
      </c>
      <c r="R89" s="6" t="s">
        <v>416</v>
      </c>
      <c r="S89" s="6"/>
      <c r="T89" s="29" t="s">
        <v>419</v>
      </c>
    </row>
    <row r="90" customFormat="false" ht="15" hidden="false" customHeight="false" outlineLevel="0" collapsed="false">
      <c r="A90" s="10" t="n">
        <v>86</v>
      </c>
      <c r="B90" s="13" t="s">
        <v>420</v>
      </c>
      <c r="C90" s="8" t="s">
        <v>34</v>
      </c>
      <c r="D90" s="8" t="s">
        <v>158</v>
      </c>
      <c r="E90" s="8" t="s">
        <v>47</v>
      </c>
      <c r="F90" s="27" t="n">
        <v>3</v>
      </c>
      <c r="G90" s="28" t="n">
        <f aca="false">INDEX(Rollout!$C$7:$C$9,F90)</f>
        <v>2029</v>
      </c>
      <c r="H90" s="23" t="s">
        <v>379</v>
      </c>
      <c r="I90" s="27" t="n">
        <v>16</v>
      </c>
      <c r="J90" s="27" t="n">
        <v>1</v>
      </c>
      <c r="K90" s="23" t="s">
        <v>20</v>
      </c>
      <c r="L90" s="18" t="str">
        <f aca="false">INDEX(Assumptions!$B$23:$B$25,MATCH(K90,Assumptions!$A$23:$A$25,0))</f>
        <v>Golfzon Vision Standard</v>
      </c>
      <c r="M90" s="11" t="n">
        <f aca="false">J90*INDEX(Assumptions!$D$23:$D$25,MATCH(K90,Assumptions!$A$23:$A$25,0))</f>
        <v>841750</v>
      </c>
      <c r="N90" s="10" t="n">
        <f aca="false">J90*INDEX(Assumptions!$G$23:$G$25,MATCH(K90,Assumptions!$A$23:$A$25,0))</f>
        <v>1782</v>
      </c>
      <c r="O90" s="12" t="n">
        <f aca="false">J90*INDEX(Assumptions!$H$23:$H$25,MATCH(K90,Assumptions!$A$23:$A$25,0))</f>
        <v>641520</v>
      </c>
      <c r="P90" s="12" t="n">
        <f aca="false">J90*INDEX(Assumptions!$M$23:$M$25,MATCH(K90,Assumptions!$A$23:$A$25,0))</f>
        <v>909095.507352941</v>
      </c>
      <c r="Q90" s="12" t="n">
        <f aca="false">J90*INDEX(Assumptions!$N$23:$N$25,MATCH(K90,Assumptions!$A$23:$A$25,0))</f>
        <v>176819.101470588</v>
      </c>
      <c r="R90" s="6" t="s">
        <v>416</v>
      </c>
      <c r="S90" s="6"/>
      <c r="T90" s="29" t="s">
        <v>421</v>
      </c>
    </row>
    <row r="91" customFormat="false" ht="15" hidden="false" customHeight="false" outlineLevel="0" collapsed="false">
      <c r="A91" s="10" t="n">
        <v>87</v>
      </c>
      <c r="B91" s="13" t="s">
        <v>422</v>
      </c>
      <c r="C91" s="8" t="s">
        <v>34</v>
      </c>
      <c r="D91" s="8" t="s">
        <v>423</v>
      </c>
      <c r="E91" s="8" t="s">
        <v>47</v>
      </c>
      <c r="F91" s="27" t="n">
        <v>3</v>
      </c>
      <c r="G91" s="28" t="n">
        <f aca="false">INDEX(Rollout!$C$7:$C$9,F91)</f>
        <v>2029</v>
      </c>
      <c r="H91" s="23" t="s">
        <v>379</v>
      </c>
      <c r="I91" s="27" t="n">
        <v>17</v>
      </c>
      <c r="J91" s="27" t="n">
        <v>1</v>
      </c>
      <c r="K91" s="23" t="s">
        <v>20</v>
      </c>
      <c r="L91" s="18" t="str">
        <f aca="false">INDEX(Assumptions!$B$23:$B$25,MATCH(K91,Assumptions!$A$23:$A$25,0))</f>
        <v>Golfzon Vision Standard</v>
      </c>
      <c r="M91" s="11" t="n">
        <f aca="false">J91*INDEX(Assumptions!$D$23:$D$25,MATCH(K91,Assumptions!$A$23:$A$25,0))</f>
        <v>841750</v>
      </c>
      <c r="N91" s="10" t="n">
        <f aca="false">J91*INDEX(Assumptions!$G$23:$G$25,MATCH(K91,Assumptions!$A$23:$A$25,0))</f>
        <v>1782</v>
      </c>
      <c r="O91" s="12" t="n">
        <f aca="false">J91*INDEX(Assumptions!$H$23:$H$25,MATCH(K91,Assumptions!$A$23:$A$25,0))</f>
        <v>641520</v>
      </c>
      <c r="P91" s="12" t="n">
        <f aca="false">J91*INDEX(Assumptions!$M$23:$M$25,MATCH(K91,Assumptions!$A$23:$A$25,0))</f>
        <v>909095.507352941</v>
      </c>
      <c r="Q91" s="12" t="n">
        <f aca="false">J91*INDEX(Assumptions!$N$23:$N$25,MATCH(K91,Assumptions!$A$23:$A$25,0))</f>
        <v>176819.101470588</v>
      </c>
      <c r="R91" s="6" t="s">
        <v>424</v>
      </c>
      <c r="S91" s="6"/>
      <c r="T91" s="29" t="s">
        <v>425</v>
      </c>
    </row>
    <row r="92" customFormat="false" ht="15" hidden="false" customHeight="false" outlineLevel="0" collapsed="false">
      <c r="A92" s="10" t="n">
        <v>88</v>
      </c>
      <c r="B92" s="13" t="s">
        <v>426</v>
      </c>
      <c r="C92" s="8" t="s">
        <v>34</v>
      </c>
      <c r="D92" s="8" t="s">
        <v>423</v>
      </c>
      <c r="E92" s="8" t="s">
        <v>47</v>
      </c>
      <c r="F92" s="27" t="n">
        <v>3</v>
      </c>
      <c r="G92" s="28" t="n">
        <f aca="false">INDEX(Rollout!$C$7:$C$9,F92)</f>
        <v>2029</v>
      </c>
      <c r="H92" s="23" t="s">
        <v>379</v>
      </c>
      <c r="I92" s="27" t="n">
        <v>18</v>
      </c>
      <c r="J92" s="27" t="n">
        <v>1</v>
      </c>
      <c r="K92" s="23" t="s">
        <v>20</v>
      </c>
      <c r="L92" s="18" t="str">
        <f aca="false">INDEX(Assumptions!$B$23:$B$25,MATCH(K92,Assumptions!$A$23:$A$25,0))</f>
        <v>Golfzon Vision Standard</v>
      </c>
      <c r="M92" s="11" t="n">
        <f aca="false">J92*INDEX(Assumptions!$D$23:$D$25,MATCH(K92,Assumptions!$A$23:$A$25,0))</f>
        <v>841750</v>
      </c>
      <c r="N92" s="10" t="n">
        <f aca="false">J92*INDEX(Assumptions!$G$23:$G$25,MATCH(K92,Assumptions!$A$23:$A$25,0))</f>
        <v>1782</v>
      </c>
      <c r="O92" s="12" t="n">
        <f aca="false">J92*INDEX(Assumptions!$H$23:$H$25,MATCH(K92,Assumptions!$A$23:$A$25,0))</f>
        <v>641520</v>
      </c>
      <c r="P92" s="12" t="n">
        <f aca="false">J92*INDEX(Assumptions!$M$23:$M$25,MATCH(K92,Assumptions!$A$23:$A$25,0))</f>
        <v>909095.507352941</v>
      </c>
      <c r="Q92" s="12" t="n">
        <f aca="false">J92*INDEX(Assumptions!$N$23:$N$25,MATCH(K92,Assumptions!$A$23:$A$25,0))</f>
        <v>176819.101470588</v>
      </c>
      <c r="R92" s="6" t="s">
        <v>424</v>
      </c>
      <c r="S92" s="6"/>
      <c r="T92" s="29" t="s">
        <v>427</v>
      </c>
    </row>
    <row r="93" customFormat="false" ht="15" hidden="false" customHeight="false" outlineLevel="0" collapsed="false">
      <c r="A93" s="10" t="n">
        <v>89</v>
      </c>
      <c r="B93" s="13" t="s">
        <v>428</v>
      </c>
      <c r="C93" s="8" t="s">
        <v>34</v>
      </c>
      <c r="D93" s="8" t="s">
        <v>171</v>
      </c>
      <c r="E93" s="8" t="s">
        <v>47</v>
      </c>
      <c r="F93" s="27" t="n">
        <v>3</v>
      </c>
      <c r="G93" s="28" t="n">
        <f aca="false">INDEX(Rollout!$C$7:$C$9,F93)</f>
        <v>2029</v>
      </c>
      <c r="H93" s="23" t="s">
        <v>379</v>
      </c>
      <c r="I93" s="27" t="n">
        <v>19</v>
      </c>
      <c r="J93" s="27" t="n">
        <v>1</v>
      </c>
      <c r="K93" s="23" t="s">
        <v>20</v>
      </c>
      <c r="L93" s="18" t="str">
        <f aca="false">INDEX(Assumptions!$B$23:$B$25,MATCH(K93,Assumptions!$A$23:$A$25,0))</f>
        <v>Golfzon Vision Standard</v>
      </c>
      <c r="M93" s="11" t="n">
        <f aca="false">J93*INDEX(Assumptions!$D$23:$D$25,MATCH(K93,Assumptions!$A$23:$A$25,0))</f>
        <v>841750</v>
      </c>
      <c r="N93" s="10" t="n">
        <f aca="false">J93*INDEX(Assumptions!$G$23:$G$25,MATCH(K93,Assumptions!$A$23:$A$25,0))</f>
        <v>1782</v>
      </c>
      <c r="O93" s="12" t="n">
        <f aca="false">J93*INDEX(Assumptions!$H$23:$H$25,MATCH(K93,Assumptions!$A$23:$A$25,0))</f>
        <v>641520</v>
      </c>
      <c r="P93" s="12" t="n">
        <f aca="false">J93*INDEX(Assumptions!$M$23:$M$25,MATCH(K93,Assumptions!$A$23:$A$25,0))</f>
        <v>909095.507352941</v>
      </c>
      <c r="Q93" s="12" t="n">
        <f aca="false">J93*INDEX(Assumptions!$N$23:$N$25,MATCH(K93,Assumptions!$A$23:$A$25,0))</f>
        <v>176819.101470588</v>
      </c>
      <c r="R93" s="6" t="s">
        <v>429</v>
      </c>
      <c r="S93" s="6"/>
      <c r="T93" s="29" t="s">
        <v>430</v>
      </c>
    </row>
    <row r="94" customFormat="false" ht="15" hidden="false" customHeight="false" outlineLevel="0" collapsed="false">
      <c r="A94" s="10" t="n">
        <v>90</v>
      </c>
      <c r="B94" s="13" t="s">
        <v>431</v>
      </c>
      <c r="C94" s="8" t="s">
        <v>34</v>
      </c>
      <c r="D94" s="8" t="s">
        <v>432</v>
      </c>
      <c r="E94" s="8" t="s">
        <v>47</v>
      </c>
      <c r="F94" s="27" t="n">
        <v>3</v>
      </c>
      <c r="G94" s="28" t="n">
        <f aca="false">INDEX(Rollout!$C$7:$C$9,F94)</f>
        <v>2029</v>
      </c>
      <c r="H94" s="23" t="s">
        <v>379</v>
      </c>
      <c r="I94" s="27" t="n">
        <v>20</v>
      </c>
      <c r="J94" s="27" t="n">
        <v>1</v>
      </c>
      <c r="K94" s="23" t="s">
        <v>20</v>
      </c>
      <c r="L94" s="18" t="str">
        <f aca="false">INDEX(Assumptions!$B$23:$B$25,MATCH(K94,Assumptions!$A$23:$A$25,0))</f>
        <v>Golfzon Vision Standard</v>
      </c>
      <c r="M94" s="11" t="n">
        <f aca="false">J94*INDEX(Assumptions!$D$23:$D$25,MATCH(K94,Assumptions!$A$23:$A$25,0))</f>
        <v>841750</v>
      </c>
      <c r="N94" s="10" t="n">
        <f aca="false">J94*INDEX(Assumptions!$G$23:$G$25,MATCH(K94,Assumptions!$A$23:$A$25,0))</f>
        <v>1782</v>
      </c>
      <c r="O94" s="12" t="n">
        <f aca="false">J94*INDEX(Assumptions!$H$23:$H$25,MATCH(K94,Assumptions!$A$23:$A$25,0))</f>
        <v>641520</v>
      </c>
      <c r="P94" s="12" t="n">
        <f aca="false">J94*INDEX(Assumptions!$M$23:$M$25,MATCH(K94,Assumptions!$A$23:$A$25,0))</f>
        <v>909095.507352941</v>
      </c>
      <c r="Q94" s="12" t="n">
        <f aca="false">J94*INDEX(Assumptions!$N$23:$N$25,MATCH(K94,Assumptions!$A$23:$A$25,0))</f>
        <v>176819.101470588</v>
      </c>
      <c r="R94" s="6" t="s">
        <v>433</v>
      </c>
      <c r="S94" s="6"/>
      <c r="T94" s="29" t="s">
        <v>434</v>
      </c>
    </row>
    <row r="95" customFormat="false" ht="23.85" hidden="false" customHeight="false" outlineLevel="0" collapsed="false">
      <c r="A95" s="10" t="n">
        <v>91</v>
      </c>
      <c r="B95" s="13" t="s">
        <v>435</v>
      </c>
      <c r="C95" s="8" t="s">
        <v>34</v>
      </c>
      <c r="D95" s="8" t="s">
        <v>278</v>
      </c>
      <c r="E95" s="8" t="s">
        <v>47</v>
      </c>
      <c r="F95" s="27" t="n">
        <v>3</v>
      </c>
      <c r="G95" s="28" t="n">
        <f aca="false">INDEX(Rollout!$C$7:$C$9,F95)</f>
        <v>2029</v>
      </c>
      <c r="H95" s="23" t="s">
        <v>379</v>
      </c>
      <c r="I95" s="27" t="n">
        <v>21</v>
      </c>
      <c r="J95" s="27" t="n">
        <v>1</v>
      </c>
      <c r="K95" s="23" t="s">
        <v>135</v>
      </c>
      <c r="L95" s="18" t="str">
        <f aca="false">INDEX(Assumptions!$B$23:$B$25,MATCH(K95,Assumptions!$A$23:$A$25,0))</f>
        <v>Golfzon GDR Plus</v>
      </c>
      <c r="M95" s="11" t="n">
        <f aca="false">J95*INDEX(Assumptions!$D$23:$D$25,MATCH(K95,Assumptions!$A$23:$A$25,0))</f>
        <v>529100</v>
      </c>
      <c r="N95" s="10" t="n">
        <f aca="false">J95*INDEX(Assumptions!$G$23:$G$25,MATCH(K95,Assumptions!$A$23:$A$25,0))</f>
        <v>1620</v>
      </c>
      <c r="O95" s="12" t="n">
        <f aca="false">J95*INDEX(Assumptions!$H$23:$H$25,MATCH(K95,Assumptions!$A$23:$A$25,0))</f>
        <v>388800</v>
      </c>
      <c r="P95" s="12" t="n">
        <f aca="false">J95*INDEX(Assumptions!$M$23:$M$25,MATCH(K95,Assumptions!$A$23:$A$25,0))</f>
        <v>652528.007352941</v>
      </c>
      <c r="Q95" s="12" t="n">
        <f aca="false">J95*INDEX(Assumptions!$N$23:$N$25,MATCH(K95,Assumptions!$A$23:$A$25,0))</f>
        <v>125505.601470588</v>
      </c>
      <c r="R95" s="6" t="s">
        <v>436</v>
      </c>
      <c r="S95" s="6"/>
      <c r="T95" s="29" t="s">
        <v>437</v>
      </c>
    </row>
    <row r="96" customFormat="false" ht="15" hidden="false" customHeight="false" outlineLevel="0" collapsed="false">
      <c r="A96" s="10" t="n">
        <v>92</v>
      </c>
      <c r="B96" s="13" t="s">
        <v>438</v>
      </c>
      <c r="C96" s="8" t="s">
        <v>34</v>
      </c>
      <c r="D96" s="8" t="s">
        <v>432</v>
      </c>
      <c r="E96" s="8" t="s">
        <v>47</v>
      </c>
      <c r="F96" s="27" t="n">
        <v>3</v>
      </c>
      <c r="G96" s="28" t="n">
        <f aca="false">INDEX(Rollout!$C$7:$C$9,F96)</f>
        <v>2029</v>
      </c>
      <c r="H96" s="23" t="s">
        <v>379</v>
      </c>
      <c r="I96" s="27" t="n">
        <v>22</v>
      </c>
      <c r="J96" s="27" t="n">
        <v>1</v>
      </c>
      <c r="K96" s="23" t="s">
        <v>135</v>
      </c>
      <c r="L96" s="18" t="str">
        <f aca="false">INDEX(Assumptions!$B$23:$B$25,MATCH(K96,Assumptions!$A$23:$A$25,0))</f>
        <v>Golfzon GDR Plus</v>
      </c>
      <c r="M96" s="11" t="n">
        <f aca="false">J96*INDEX(Assumptions!$D$23:$D$25,MATCH(K96,Assumptions!$A$23:$A$25,0))</f>
        <v>529100</v>
      </c>
      <c r="N96" s="10" t="n">
        <f aca="false">J96*INDEX(Assumptions!$G$23:$G$25,MATCH(K96,Assumptions!$A$23:$A$25,0))</f>
        <v>1620</v>
      </c>
      <c r="O96" s="12" t="n">
        <f aca="false">J96*INDEX(Assumptions!$H$23:$H$25,MATCH(K96,Assumptions!$A$23:$A$25,0))</f>
        <v>388800</v>
      </c>
      <c r="P96" s="12" t="n">
        <f aca="false">J96*INDEX(Assumptions!$M$23:$M$25,MATCH(K96,Assumptions!$A$23:$A$25,0))</f>
        <v>652528.007352941</v>
      </c>
      <c r="Q96" s="12" t="n">
        <f aca="false">J96*INDEX(Assumptions!$N$23:$N$25,MATCH(K96,Assumptions!$A$23:$A$25,0))</f>
        <v>125505.601470588</v>
      </c>
      <c r="R96" s="6" t="s">
        <v>439</v>
      </c>
      <c r="S96" s="6"/>
      <c r="T96" s="29" t="s">
        <v>440</v>
      </c>
    </row>
    <row r="97" customFormat="false" ht="23.85" hidden="false" customHeight="false" outlineLevel="0" collapsed="false">
      <c r="A97" s="10" t="n">
        <v>93</v>
      </c>
      <c r="B97" s="13" t="s">
        <v>441</v>
      </c>
      <c r="C97" s="8" t="s">
        <v>34</v>
      </c>
      <c r="D97" s="8" t="s">
        <v>442</v>
      </c>
      <c r="E97" s="8" t="s">
        <v>47</v>
      </c>
      <c r="F97" s="27" t="n">
        <v>3</v>
      </c>
      <c r="G97" s="28" t="n">
        <f aca="false">INDEX(Rollout!$C$7:$C$9,F97)</f>
        <v>2029</v>
      </c>
      <c r="H97" s="23" t="s">
        <v>379</v>
      </c>
      <c r="I97" s="27" t="n">
        <v>23</v>
      </c>
      <c r="J97" s="27" t="n">
        <v>1</v>
      </c>
      <c r="K97" s="23" t="s">
        <v>135</v>
      </c>
      <c r="L97" s="18" t="str">
        <f aca="false">INDEX(Assumptions!$B$23:$B$25,MATCH(K97,Assumptions!$A$23:$A$25,0))</f>
        <v>Golfzon GDR Plus</v>
      </c>
      <c r="M97" s="11" t="n">
        <f aca="false">J97*INDEX(Assumptions!$D$23:$D$25,MATCH(K97,Assumptions!$A$23:$A$25,0))</f>
        <v>529100</v>
      </c>
      <c r="N97" s="10" t="n">
        <f aca="false">J97*INDEX(Assumptions!$G$23:$G$25,MATCH(K97,Assumptions!$A$23:$A$25,0))</f>
        <v>1620</v>
      </c>
      <c r="O97" s="12" t="n">
        <f aca="false">J97*INDEX(Assumptions!$H$23:$H$25,MATCH(K97,Assumptions!$A$23:$A$25,0))</f>
        <v>388800</v>
      </c>
      <c r="P97" s="12" t="n">
        <f aca="false">J97*INDEX(Assumptions!$M$23:$M$25,MATCH(K97,Assumptions!$A$23:$A$25,0))</f>
        <v>652528.007352941</v>
      </c>
      <c r="Q97" s="12" t="n">
        <f aca="false">J97*INDEX(Assumptions!$N$23:$N$25,MATCH(K97,Assumptions!$A$23:$A$25,0))</f>
        <v>125505.601470588</v>
      </c>
      <c r="R97" s="6" t="s">
        <v>443</v>
      </c>
      <c r="S97" s="6"/>
      <c r="T97" s="29" t="s">
        <v>444</v>
      </c>
    </row>
    <row r="98" customFormat="false" ht="23.85" hidden="false" customHeight="false" outlineLevel="0" collapsed="false">
      <c r="A98" s="10" t="n">
        <v>94</v>
      </c>
      <c r="B98" s="13" t="s">
        <v>445</v>
      </c>
      <c r="C98" s="8" t="s">
        <v>34</v>
      </c>
      <c r="D98" s="8" t="s">
        <v>442</v>
      </c>
      <c r="E98" s="8" t="s">
        <v>47</v>
      </c>
      <c r="F98" s="27" t="n">
        <v>3</v>
      </c>
      <c r="G98" s="28" t="n">
        <f aca="false">INDEX(Rollout!$C$7:$C$9,F98)</f>
        <v>2029</v>
      </c>
      <c r="H98" s="23" t="s">
        <v>379</v>
      </c>
      <c r="I98" s="27" t="n">
        <v>24</v>
      </c>
      <c r="J98" s="27" t="n">
        <v>1</v>
      </c>
      <c r="K98" s="23" t="s">
        <v>135</v>
      </c>
      <c r="L98" s="18" t="str">
        <f aca="false">INDEX(Assumptions!$B$23:$B$25,MATCH(K98,Assumptions!$A$23:$A$25,0))</f>
        <v>Golfzon GDR Plus</v>
      </c>
      <c r="M98" s="11" t="n">
        <f aca="false">J98*INDEX(Assumptions!$D$23:$D$25,MATCH(K98,Assumptions!$A$23:$A$25,0))</f>
        <v>529100</v>
      </c>
      <c r="N98" s="10" t="n">
        <f aca="false">J98*INDEX(Assumptions!$G$23:$G$25,MATCH(K98,Assumptions!$A$23:$A$25,0))</f>
        <v>1620</v>
      </c>
      <c r="O98" s="12" t="n">
        <f aca="false">J98*INDEX(Assumptions!$H$23:$H$25,MATCH(K98,Assumptions!$A$23:$A$25,0))</f>
        <v>388800</v>
      </c>
      <c r="P98" s="12" t="n">
        <f aca="false">J98*INDEX(Assumptions!$M$23:$M$25,MATCH(K98,Assumptions!$A$23:$A$25,0))</f>
        <v>652528.007352941</v>
      </c>
      <c r="Q98" s="12" t="n">
        <f aca="false">J98*INDEX(Assumptions!$N$23:$N$25,MATCH(K98,Assumptions!$A$23:$A$25,0))</f>
        <v>125505.601470588</v>
      </c>
      <c r="R98" s="6" t="s">
        <v>443</v>
      </c>
      <c r="S98" s="6"/>
      <c r="T98" s="29" t="s">
        <v>446</v>
      </c>
    </row>
    <row r="99" customFormat="false" ht="23.85" hidden="false" customHeight="false" outlineLevel="0" collapsed="false">
      <c r="A99" s="10" t="n">
        <v>95</v>
      </c>
      <c r="B99" s="13" t="s">
        <v>447</v>
      </c>
      <c r="C99" s="8" t="s">
        <v>35</v>
      </c>
      <c r="D99" s="8" t="s">
        <v>448</v>
      </c>
      <c r="E99" s="8" t="s">
        <v>47</v>
      </c>
      <c r="F99" s="27" t="n">
        <v>3</v>
      </c>
      <c r="G99" s="28" t="n">
        <f aca="false">INDEX(Rollout!$C$7:$C$9,F99)</f>
        <v>2029</v>
      </c>
      <c r="H99" s="23" t="s">
        <v>379</v>
      </c>
      <c r="I99" s="27" t="n">
        <v>25</v>
      </c>
      <c r="J99" s="27" t="n">
        <v>1</v>
      </c>
      <c r="K99" s="23" t="s">
        <v>135</v>
      </c>
      <c r="L99" s="18" t="str">
        <f aca="false">INDEX(Assumptions!$B$23:$B$25,MATCH(K99,Assumptions!$A$23:$A$25,0))</f>
        <v>Golfzon GDR Plus</v>
      </c>
      <c r="M99" s="11" t="n">
        <f aca="false">J99*INDEX(Assumptions!$D$23:$D$25,MATCH(K99,Assumptions!$A$23:$A$25,0))</f>
        <v>529100</v>
      </c>
      <c r="N99" s="10" t="n">
        <f aca="false">J99*INDEX(Assumptions!$G$23:$G$25,MATCH(K99,Assumptions!$A$23:$A$25,0))</f>
        <v>1620</v>
      </c>
      <c r="O99" s="12" t="n">
        <f aca="false">J99*INDEX(Assumptions!$H$23:$H$25,MATCH(K99,Assumptions!$A$23:$A$25,0))</f>
        <v>388800</v>
      </c>
      <c r="P99" s="12" t="n">
        <f aca="false">J99*INDEX(Assumptions!$M$23:$M$25,MATCH(K99,Assumptions!$A$23:$A$25,0))</f>
        <v>652528.007352941</v>
      </c>
      <c r="Q99" s="12" t="n">
        <f aca="false">J99*INDEX(Assumptions!$N$23:$N$25,MATCH(K99,Assumptions!$A$23:$A$25,0))</f>
        <v>125505.601470588</v>
      </c>
      <c r="R99" s="6" t="s">
        <v>449</v>
      </c>
      <c r="S99" s="6"/>
      <c r="T99" s="29" t="s">
        <v>450</v>
      </c>
    </row>
    <row r="100" customFormat="false" ht="23.85" hidden="false" customHeight="false" outlineLevel="0" collapsed="false">
      <c r="A100" s="10" t="n">
        <v>96</v>
      </c>
      <c r="B100" s="13" t="s">
        <v>451</v>
      </c>
      <c r="C100" s="8" t="s">
        <v>35</v>
      </c>
      <c r="D100" s="8" t="s">
        <v>448</v>
      </c>
      <c r="E100" s="8" t="s">
        <v>47</v>
      </c>
      <c r="F100" s="27" t="n">
        <v>3</v>
      </c>
      <c r="G100" s="28" t="n">
        <f aca="false">INDEX(Rollout!$C$7:$C$9,F100)</f>
        <v>2029</v>
      </c>
      <c r="H100" s="23" t="s">
        <v>379</v>
      </c>
      <c r="I100" s="27" t="n">
        <v>26</v>
      </c>
      <c r="J100" s="27" t="n">
        <v>1</v>
      </c>
      <c r="K100" s="23" t="s">
        <v>135</v>
      </c>
      <c r="L100" s="18" t="str">
        <f aca="false">INDEX(Assumptions!$B$23:$B$25,MATCH(K100,Assumptions!$A$23:$A$25,0))</f>
        <v>Golfzon GDR Plus</v>
      </c>
      <c r="M100" s="11" t="n">
        <f aca="false">J100*INDEX(Assumptions!$D$23:$D$25,MATCH(K100,Assumptions!$A$23:$A$25,0))</f>
        <v>529100</v>
      </c>
      <c r="N100" s="10" t="n">
        <f aca="false">J100*INDEX(Assumptions!$G$23:$G$25,MATCH(K100,Assumptions!$A$23:$A$25,0))</f>
        <v>1620</v>
      </c>
      <c r="O100" s="12" t="n">
        <f aca="false">J100*INDEX(Assumptions!$H$23:$H$25,MATCH(K100,Assumptions!$A$23:$A$25,0))</f>
        <v>388800</v>
      </c>
      <c r="P100" s="12" t="n">
        <f aca="false">J100*INDEX(Assumptions!$M$23:$M$25,MATCH(K100,Assumptions!$A$23:$A$25,0))</f>
        <v>652528.007352941</v>
      </c>
      <c r="Q100" s="12" t="n">
        <f aca="false">J100*INDEX(Assumptions!$N$23:$N$25,MATCH(K100,Assumptions!$A$23:$A$25,0))</f>
        <v>125505.601470588</v>
      </c>
      <c r="R100" s="6" t="s">
        <v>449</v>
      </c>
      <c r="S100" s="6"/>
      <c r="T100" s="29" t="s">
        <v>452</v>
      </c>
    </row>
    <row r="101" customFormat="false" ht="23.85" hidden="false" customHeight="false" outlineLevel="0" collapsed="false">
      <c r="A101" s="10" t="n">
        <v>97</v>
      </c>
      <c r="B101" s="13" t="s">
        <v>453</v>
      </c>
      <c r="C101" s="8" t="s">
        <v>35</v>
      </c>
      <c r="D101" s="8" t="s">
        <v>454</v>
      </c>
      <c r="E101" s="8" t="s">
        <v>47</v>
      </c>
      <c r="F101" s="27" t="n">
        <v>3</v>
      </c>
      <c r="G101" s="28" t="n">
        <f aca="false">INDEX(Rollout!$C$7:$C$9,F101)</f>
        <v>2029</v>
      </c>
      <c r="H101" s="23" t="s">
        <v>379</v>
      </c>
      <c r="I101" s="27" t="n">
        <v>27</v>
      </c>
      <c r="J101" s="27" t="n">
        <v>1</v>
      </c>
      <c r="K101" s="23" t="s">
        <v>135</v>
      </c>
      <c r="L101" s="18" t="str">
        <f aca="false">INDEX(Assumptions!$B$23:$B$25,MATCH(K101,Assumptions!$A$23:$A$25,0))</f>
        <v>Golfzon GDR Plus</v>
      </c>
      <c r="M101" s="11" t="n">
        <f aca="false">J101*INDEX(Assumptions!$D$23:$D$25,MATCH(K101,Assumptions!$A$23:$A$25,0))</f>
        <v>529100</v>
      </c>
      <c r="N101" s="10" t="n">
        <f aca="false">J101*INDEX(Assumptions!$G$23:$G$25,MATCH(K101,Assumptions!$A$23:$A$25,0))</f>
        <v>1620</v>
      </c>
      <c r="O101" s="12" t="n">
        <f aca="false">J101*INDEX(Assumptions!$H$23:$H$25,MATCH(K101,Assumptions!$A$23:$A$25,0))</f>
        <v>388800</v>
      </c>
      <c r="P101" s="12" t="n">
        <f aca="false">J101*INDEX(Assumptions!$M$23:$M$25,MATCH(K101,Assumptions!$A$23:$A$25,0))</f>
        <v>652528.007352941</v>
      </c>
      <c r="Q101" s="12" t="n">
        <f aca="false">J101*INDEX(Assumptions!$N$23:$N$25,MATCH(K101,Assumptions!$A$23:$A$25,0))</f>
        <v>125505.601470588</v>
      </c>
      <c r="R101" s="6" t="s">
        <v>455</v>
      </c>
      <c r="S101" s="6"/>
      <c r="T101" s="29" t="s">
        <v>456</v>
      </c>
    </row>
    <row r="102" customFormat="false" ht="23.85" hidden="false" customHeight="false" outlineLevel="0" collapsed="false">
      <c r="A102" s="10" t="n">
        <v>98</v>
      </c>
      <c r="B102" s="13" t="s">
        <v>457</v>
      </c>
      <c r="C102" s="8" t="s">
        <v>35</v>
      </c>
      <c r="D102" s="8" t="s">
        <v>312</v>
      </c>
      <c r="E102" s="8" t="s">
        <v>47</v>
      </c>
      <c r="F102" s="27" t="n">
        <v>3</v>
      </c>
      <c r="G102" s="28" t="n">
        <f aca="false">INDEX(Rollout!$C$7:$C$9,F102)</f>
        <v>2029</v>
      </c>
      <c r="H102" s="23" t="s">
        <v>379</v>
      </c>
      <c r="I102" s="27" t="n">
        <v>28</v>
      </c>
      <c r="J102" s="27" t="n">
        <v>1</v>
      </c>
      <c r="K102" s="23" t="s">
        <v>135</v>
      </c>
      <c r="L102" s="18" t="str">
        <f aca="false">INDEX(Assumptions!$B$23:$B$25,MATCH(K102,Assumptions!$A$23:$A$25,0))</f>
        <v>Golfzon GDR Plus</v>
      </c>
      <c r="M102" s="11" t="n">
        <f aca="false">J102*INDEX(Assumptions!$D$23:$D$25,MATCH(K102,Assumptions!$A$23:$A$25,0))</f>
        <v>529100</v>
      </c>
      <c r="N102" s="10" t="n">
        <f aca="false">J102*INDEX(Assumptions!$G$23:$G$25,MATCH(K102,Assumptions!$A$23:$A$25,0))</f>
        <v>1620</v>
      </c>
      <c r="O102" s="12" t="n">
        <f aca="false">J102*INDEX(Assumptions!$H$23:$H$25,MATCH(K102,Assumptions!$A$23:$A$25,0))</f>
        <v>388800</v>
      </c>
      <c r="P102" s="12" t="n">
        <f aca="false">J102*INDEX(Assumptions!$M$23:$M$25,MATCH(K102,Assumptions!$A$23:$A$25,0))</f>
        <v>652528.007352941</v>
      </c>
      <c r="Q102" s="12" t="n">
        <f aca="false">J102*INDEX(Assumptions!$N$23:$N$25,MATCH(K102,Assumptions!$A$23:$A$25,0))</f>
        <v>125505.601470588</v>
      </c>
      <c r="R102" s="6" t="s">
        <v>458</v>
      </c>
      <c r="S102" s="6"/>
      <c r="T102" s="29" t="s">
        <v>459</v>
      </c>
    </row>
    <row r="103" customFormat="false" ht="23.85" hidden="false" customHeight="false" outlineLevel="0" collapsed="false">
      <c r="A103" s="10" t="n">
        <v>99</v>
      </c>
      <c r="B103" s="13" t="s">
        <v>460</v>
      </c>
      <c r="C103" s="8" t="s">
        <v>35</v>
      </c>
      <c r="D103" s="8" t="s">
        <v>312</v>
      </c>
      <c r="E103" s="8" t="s">
        <v>47</v>
      </c>
      <c r="F103" s="27" t="n">
        <v>3</v>
      </c>
      <c r="G103" s="28" t="n">
        <f aca="false">INDEX(Rollout!$C$7:$C$9,F103)</f>
        <v>2029</v>
      </c>
      <c r="H103" s="23" t="s">
        <v>379</v>
      </c>
      <c r="I103" s="27" t="n">
        <v>29</v>
      </c>
      <c r="J103" s="27" t="n">
        <v>1</v>
      </c>
      <c r="K103" s="23" t="s">
        <v>135</v>
      </c>
      <c r="L103" s="18" t="str">
        <f aca="false">INDEX(Assumptions!$B$23:$B$25,MATCH(K103,Assumptions!$A$23:$A$25,0))</f>
        <v>Golfzon GDR Plus</v>
      </c>
      <c r="M103" s="11" t="n">
        <f aca="false">J103*INDEX(Assumptions!$D$23:$D$25,MATCH(K103,Assumptions!$A$23:$A$25,0))</f>
        <v>529100</v>
      </c>
      <c r="N103" s="10" t="n">
        <f aca="false">J103*INDEX(Assumptions!$G$23:$G$25,MATCH(K103,Assumptions!$A$23:$A$25,0))</f>
        <v>1620</v>
      </c>
      <c r="O103" s="12" t="n">
        <f aca="false">J103*INDEX(Assumptions!$H$23:$H$25,MATCH(K103,Assumptions!$A$23:$A$25,0))</f>
        <v>388800</v>
      </c>
      <c r="P103" s="12" t="n">
        <f aca="false">J103*INDEX(Assumptions!$M$23:$M$25,MATCH(K103,Assumptions!$A$23:$A$25,0))</f>
        <v>652528.007352941</v>
      </c>
      <c r="Q103" s="12" t="n">
        <f aca="false">J103*INDEX(Assumptions!$N$23:$N$25,MATCH(K103,Assumptions!$A$23:$A$25,0))</f>
        <v>125505.601470588</v>
      </c>
      <c r="R103" s="6" t="s">
        <v>458</v>
      </c>
      <c r="S103" s="6"/>
      <c r="T103" s="29" t="s">
        <v>461</v>
      </c>
    </row>
    <row r="104" customFormat="false" ht="23.85" hidden="false" customHeight="false" outlineLevel="0" collapsed="false">
      <c r="A104" s="10" t="n">
        <v>100</v>
      </c>
      <c r="B104" s="13" t="s">
        <v>462</v>
      </c>
      <c r="C104" s="8" t="s">
        <v>35</v>
      </c>
      <c r="D104" s="8" t="s">
        <v>318</v>
      </c>
      <c r="E104" s="8" t="s">
        <v>47</v>
      </c>
      <c r="F104" s="27" t="n">
        <v>3</v>
      </c>
      <c r="G104" s="28" t="n">
        <f aca="false">INDEX(Rollout!$C$7:$C$9,F104)</f>
        <v>2029</v>
      </c>
      <c r="H104" s="23" t="s">
        <v>379</v>
      </c>
      <c r="I104" s="27" t="n">
        <v>30</v>
      </c>
      <c r="J104" s="27" t="n">
        <v>1</v>
      </c>
      <c r="K104" s="23" t="s">
        <v>135</v>
      </c>
      <c r="L104" s="18" t="str">
        <f aca="false">INDEX(Assumptions!$B$23:$B$25,MATCH(K104,Assumptions!$A$23:$A$25,0))</f>
        <v>Golfzon GDR Plus</v>
      </c>
      <c r="M104" s="11" t="n">
        <f aca="false">J104*INDEX(Assumptions!$D$23:$D$25,MATCH(K104,Assumptions!$A$23:$A$25,0))</f>
        <v>529100</v>
      </c>
      <c r="N104" s="10" t="n">
        <f aca="false">J104*INDEX(Assumptions!$G$23:$G$25,MATCH(K104,Assumptions!$A$23:$A$25,0))</f>
        <v>1620</v>
      </c>
      <c r="O104" s="12" t="n">
        <f aca="false">J104*INDEX(Assumptions!$H$23:$H$25,MATCH(K104,Assumptions!$A$23:$A$25,0))</f>
        <v>388800</v>
      </c>
      <c r="P104" s="12" t="n">
        <f aca="false">J104*INDEX(Assumptions!$M$23:$M$25,MATCH(K104,Assumptions!$A$23:$A$25,0))</f>
        <v>652528.007352941</v>
      </c>
      <c r="Q104" s="12" t="n">
        <f aca="false">J104*INDEX(Assumptions!$N$23:$N$25,MATCH(K104,Assumptions!$A$23:$A$25,0))</f>
        <v>125505.601470588</v>
      </c>
      <c r="R104" s="6" t="s">
        <v>463</v>
      </c>
      <c r="S104" s="6"/>
      <c r="T104" s="29" t="s">
        <v>464</v>
      </c>
    </row>
    <row r="105" customFormat="false" ht="23.85" hidden="false" customHeight="false" outlineLevel="0" collapsed="false">
      <c r="A105" s="10" t="n">
        <v>101</v>
      </c>
      <c r="B105" s="13" t="s">
        <v>465</v>
      </c>
      <c r="C105" s="8" t="s">
        <v>35</v>
      </c>
      <c r="D105" s="8" t="s">
        <v>466</v>
      </c>
      <c r="E105" s="8" t="s">
        <v>47</v>
      </c>
      <c r="F105" s="27" t="n">
        <v>3</v>
      </c>
      <c r="G105" s="28" t="n">
        <f aca="false">INDEX(Rollout!$C$7:$C$9,F105)</f>
        <v>2029</v>
      </c>
      <c r="H105" s="23" t="s">
        <v>467</v>
      </c>
      <c r="I105" s="27" t="n">
        <v>31</v>
      </c>
      <c r="J105" s="27" t="n">
        <v>1</v>
      </c>
      <c r="K105" s="23" t="s">
        <v>135</v>
      </c>
      <c r="L105" s="18" t="str">
        <f aca="false">INDEX(Assumptions!$B$23:$B$25,MATCH(K105,Assumptions!$A$23:$A$25,0))</f>
        <v>Golfzon GDR Plus</v>
      </c>
      <c r="M105" s="11" t="n">
        <f aca="false">J105*INDEX(Assumptions!$D$23:$D$25,MATCH(K105,Assumptions!$A$23:$A$25,0))</f>
        <v>529100</v>
      </c>
      <c r="N105" s="10" t="n">
        <f aca="false">J105*INDEX(Assumptions!$G$23:$G$25,MATCH(K105,Assumptions!$A$23:$A$25,0))</f>
        <v>1620</v>
      </c>
      <c r="O105" s="12" t="n">
        <f aca="false">J105*INDEX(Assumptions!$H$23:$H$25,MATCH(K105,Assumptions!$A$23:$A$25,0))</f>
        <v>388800</v>
      </c>
      <c r="P105" s="12" t="n">
        <f aca="false">J105*INDEX(Assumptions!$M$23:$M$25,MATCH(K105,Assumptions!$A$23:$A$25,0))</f>
        <v>652528.007352941</v>
      </c>
      <c r="Q105" s="12" t="n">
        <f aca="false">J105*INDEX(Assumptions!$N$23:$N$25,MATCH(K105,Assumptions!$A$23:$A$25,0))</f>
        <v>125505.601470588</v>
      </c>
      <c r="R105" s="6" t="s">
        <v>468</v>
      </c>
      <c r="S105" s="6"/>
      <c r="T105" s="29" t="s">
        <v>469</v>
      </c>
    </row>
    <row r="106" customFormat="false" ht="23.85" hidden="false" customHeight="false" outlineLevel="0" collapsed="false">
      <c r="A106" s="10" t="n">
        <v>102</v>
      </c>
      <c r="B106" s="13" t="s">
        <v>470</v>
      </c>
      <c r="C106" s="8" t="s">
        <v>36</v>
      </c>
      <c r="D106" s="8" t="s">
        <v>471</v>
      </c>
      <c r="E106" s="8" t="s">
        <v>47</v>
      </c>
      <c r="F106" s="27" t="n">
        <v>3</v>
      </c>
      <c r="G106" s="28" t="n">
        <f aca="false">INDEX(Rollout!$C$7:$C$9,F106)</f>
        <v>2029</v>
      </c>
      <c r="H106" s="23" t="s">
        <v>467</v>
      </c>
      <c r="I106" s="27" t="n">
        <v>32</v>
      </c>
      <c r="J106" s="27" t="n">
        <v>1</v>
      </c>
      <c r="K106" s="23" t="s">
        <v>135</v>
      </c>
      <c r="L106" s="18" t="str">
        <f aca="false">INDEX(Assumptions!$B$23:$B$25,MATCH(K106,Assumptions!$A$23:$A$25,0))</f>
        <v>Golfzon GDR Plus</v>
      </c>
      <c r="M106" s="11" t="n">
        <f aca="false">J106*INDEX(Assumptions!$D$23:$D$25,MATCH(K106,Assumptions!$A$23:$A$25,0))</f>
        <v>529100</v>
      </c>
      <c r="N106" s="10" t="n">
        <f aca="false">J106*INDEX(Assumptions!$G$23:$G$25,MATCH(K106,Assumptions!$A$23:$A$25,0))</f>
        <v>1620</v>
      </c>
      <c r="O106" s="12" t="n">
        <f aca="false">J106*INDEX(Assumptions!$H$23:$H$25,MATCH(K106,Assumptions!$A$23:$A$25,0))</f>
        <v>388800</v>
      </c>
      <c r="P106" s="12" t="n">
        <f aca="false">J106*INDEX(Assumptions!$M$23:$M$25,MATCH(K106,Assumptions!$A$23:$A$25,0))</f>
        <v>652528.007352941</v>
      </c>
      <c r="Q106" s="12" t="n">
        <f aca="false">J106*INDEX(Assumptions!$N$23:$N$25,MATCH(K106,Assumptions!$A$23:$A$25,0))</f>
        <v>125505.601470588</v>
      </c>
      <c r="R106" s="6" t="s">
        <v>472</v>
      </c>
      <c r="S106" s="6"/>
      <c r="T106" s="29" t="s">
        <v>473</v>
      </c>
    </row>
    <row r="107" customFormat="false" ht="23.85" hidden="false" customHeight="false" outlineLevel="0" collapsed="false">
      <c r="A107" s="10" t="n">
        <v>103</v>
      </c>
      <c r="B107" s="13" t="s">
        <v>474</v>
      </c>
      <c r="C107" s="8" t="s">
        <v>36</v>
      </c>
      <c r="D107" s="8" t="s">
        <v>475</v>
      </c>
      <c r="E107" s="8" t="s">
        <v>47</v>
      </c>
      <c r="F107" s="27" t="n">
        <v>3</v>
      </c>
      <c r="G107" s="28" t="n">
        <f aca="false">INDEX(Rollout!$C$7:$C$9,F107)</f>
        <v>2029</v>
      </c>
      <c r="H107" s="23" t="s">
        <v>467</v>
      </c>
      <c r="I107" s="27" t="n">
        <v>33</v>
      </c>
      <c r="J107" s="27" t="n">
        <v>1</v>
      </c>
      <c r="K107" s="23" t="s">
        <v>135</v>
      </c>
      <c r="L107" s="18" t="str">
        <f aca="false">INDEX(Assumptions!$B$23:$B$25,MATCH(K107,Assumptions!$A$23:$A$25,0))</f>
        <v>Golfzon GDR Plus</v>
      </c>
      <c r="M107" s="11" t="n">
        <f aca="false">J107*INDEX(Assumptions!$D$23:$D$25,MATCH(K107,Assumptions!$A$23:$A$25,0))</f>
        <v>529100</v>
      </c>
      <c r="N107" s="10" t="n">
        <f aca="false">J107*INDEX(Assumptions!$G$23:$G$25,MATCH(K107,Assumptions!$A$23:$A$25,0))</f>
        <v>1620</v>
      </c>
      <c r="O107" s="12" t="n">
        <f aca="false">J107*INDEX(Assumptions!$H$23:$H$25,MATCH(K107,Assumptions!$A$23:$A$25,0))</f>
        <v>388800</v>
      </c>
      <c r="P107" s="12" t="n">
        <f aca="false">J107*INDEX(Assumptions!$M$23:$M$25,MATCH(K107,Assumptions!$A$23:$A$25,0))</f>
        <v>652528.007352941</v>
      </c>
      <c r="Q107" s="12" t="n">
        <f aca="false">J107*INDEX(Assumptions!$N$23:$N$25,MATCH(K107,Assumptions!$A$23:$A$25,0))</f>
        <v>125505.601470588</v>
      </c>
      <c r="R107" s="6" t="s">
        <v>476</v>
      </c>
      <c r="S107" s="6"/>
      <c r="T107" s="29" t="s">
        <v>477</v>
      </c>
    </row>
    <row r="108" customFormat="false" ht="15" hidden="false" customHeight="false" outlineLevel="0" collapsed="false">
      <c r="A108" s="10" t="n">
        <v>104</v>
      </c>
      <c r="B108" s="13" t="s">
        <v>349</v>
      </c>
      <c r="C108" s="8" t="s">
        <v>36</v>
      </c>
      <c r="D108" s="8" t="s">
        <v>349</v>
      </c>
      <c r="E108" s="8" t="s">
        <v>47</v>
      </c>
      <c r="F108" s="27" t="n">
        <v>3</v>
      </c>
      <c r="G108" s="28" t="n">
        <f aca="false">INDEX(Rollout!$C$7:$C$9,F108)</f>
        <v>2029</v>
      </c>
      <c r="H108" s="23" t="s">
        <v>467</v>
      </c>
      <c r="I108" s="27" t="n">
        <v>34</v>
      </c>
      <c r="J108" s="27" t="n">
        <v>1</v>
      </c>
      <c r="K108" s="23" t="s">
        <v>135</v>
      </c>
      <c r="L108" s="18" t="str">
        <f aca="false">INDEX(Assumptions!$B$23:$B$25,MATCH(K108,Assumptions!$A$23:$A$25,0))</f>
        <v>Golfzon GDR Plus</v>
      </c>
      <c r="M108" s="11" t="n">
        <f aca="false">J108*INDEX(Assumptions!$D$23:$D$25,MATCH(K108,Assumptions!$A$23:$A$25,0))</f>
        <v>529100</v>
      </c>
      <c r="N108" s="10" t="n">
        <f aca="false">J108*INDEX(Assumptions!$G$23:$G$25,MATCH(K108,Assumptions!$A$23:$A$25,0))</f>
        <v>1620</v>
      </c>
      <c r="O108" s="12" t="n">
        <f aca="false">J108*INDEX(Assumptions!$H$23:$H$25,MATCH(K108,Assumptions!$A$23:$A$25,0))</f>
        <v>388800</v>
      </c>
      <c r="P108" s="12" t="n">
        <f aca="false">J108*INDEX(Assumptions!$M$23:$M$25,MATCH(K108,Assumptions!$A$23:$A$25,0))</f>
        <v>652528.007352941</v>
      </c>
      <c r="Q108" s="12" t="n">
        <f aca="false">J108*INDEX(Assumptions!$N$23:$N$25,MATCH(K108,Assumptions!$A$23:$A$25,0))</f>
        <v>125505.601470588</v>
      </c>
      <c r="R108" s="6" t="s">
        <v>478</v>
      </c>
      <c r="S108" s="6" t="s">
        <v>479</v>
      </c>
      <c r="T108" s="29" t="s">
        <v>480</v>
      </c>
    </row>
    <row r="109" customFormat="false" ht="23.85" hidden="false" customHeight="false" outlineLevel="0" collapsed="false">
      <c r="A109" s="10" t="n">
        <v>105</v>
      </c>
      <c r="B109" s="13" t="s">
        <v>481</v>
      </c>
      <c r="C109" s="8" t="s">
        <v>36</v>
      </c>
      <c r="D109" s="8" t="s">
        <v>352</v>
      </c>
      <c r="E109" s="8" t="s">
        <v>47</v>
      </c>
      <c r="F109" s="27" t="n">
        <v>3</v>
      </c>
      <c r="G109" s="28" t="n">
        <f aca="false">INDEX(Rollout!$C$7:$C$9,F109)</f>
        <v>2029</v>
      </c>
      <c r="H109" s="23" t="s">
        <v>467</v>
      </c>
      <c r="I109" s="27" t="n">
        <v>35</v>
      </c>
      <c r="J109" s="27" t="n">
        <v>1</v>
      </c>
      <c r="K109" s="23" t="s">
        <v>135</v>
      </c>
      <c r="L109" s="18" t="str">
        <f aca="false">INDEX(Assumptions!$B$23:$B$25,MATCH(K109,Assumptions!$A$23:$A$25,0))</f>
        <v>Golfzon GDR Plus</v>
      </c>
      <c r="M109" s="11" t="n">
        <f aca="false">J109*INDEX(Assumptions!$D$23:$D$25,MATCH(K109,Assumptions!$A$23:$A$25,0))</f>
        <v>529100</v>
      </c>
      <c r="N109" s="10" t="n">
        <f aca="false">J109*INDEX(Assumptions!$G$23:$G$25,MATCH(K109,Assumptions!$A$23:$A$25,0))</f>
        <v>1620</v>
      </c>
      <c r="O109" s="12" t="n">
        <f aca="false">J109*INDEX(Assumptions!$H$23:$H$25,MATCH(K109,Assumptions!$A$23:$A$25,0))</f>
        <v>388800</v>
      </c>
      <c r="P109" s="12" t="n">
        <f aca="false">J109*INDEX(Assumptions!$M$23:$M$25,MATCH(K109,Assumptions!$A$23:$A$25,0))</f>
        <v>652528.007352941</v>
      </c>
      <c r="Q109" s="12" t="n">
        <f aca="false">J109*INDEX(Assumptions!$N$23:$N$25,MATCH(K109,Assumptions!$A$23:$A$25,0))</f>
        <v>125505.601470588</v>
      </c>
      <c r="R109" s="6" t="s">
        <v>482</v>
      </c>
      <c r="S109" s="6"/>
      <c r="T109" s="29" t="s">
        <v>483</v>
      </c>
    </row>
    <row r="110" customFormat="false" ht="23.85" hidden="false" customHeight="false" outlineLevel="0" collapsed="false">
      <c r="A110" s="10" t="n">
        <v>106</v>
      </c>
      <c r="B110" s="13" t="s">
        <v>484</v>
      </c>
      <c r="C110" s="8" t="s">
        <v>37</v>
      </c>
      <c r="D110" s="8" t="s">
        <v>364</v>
      </c>
      <c r="E110" s="8" t="s">
        <v>47</v>
      </c>
      <c r="F110" s="27" t="n">
        <v>3</v>
      </c>
      <c r="G110" s="28" t="n">
        <f aca="false">INDEX(Rollout!$C$7:$C$9,F110)</f>
        <v>2029</v>
      </c>
      <c r="H110" s="23" t="s">
        <v>467</v>
      </c>
      <c r="I110" s="27" t="n">
        <v>36</v>
      </c>
      <c r="J110" s="27" t="n">
        <v>1</v>
      </c>
      <c r="K110" s="23" t="s">
        <v>135</v>
      </c>
      <c r="L110" s="18" t="str">
        <f aca="false">INDEX(Assumptions!$B$23:$B$25,MATCH(K110,Assumptions!$A$23:$A$25,0))</f>
        <v>Golfzon GDR Plus</v>
      </c>
      <c r="M110" s="11" t="n">
        <f aca="false">J110*INDEX(Assumptions!$D$23:$D$25,MATCH(K110,Assumptions!$A$23:$A$25,0))</f>
        <v>529100</v>
      </c>
      <c r="N110" s="10" t="n">
        <f aca="false">J110*INDEX(Assumptions!$G$23:$G$25,MATCH(K110,Assumptions!$A$23:$A$25,0))</f>
        <v>1620</v>
      </c>
      <c r="O110" s="12" t="n">
        <f aca="false">J110*INDEX(Assumptions!$H$23:$H$25,MATCH(K110,Assumptions!$A$23:$A$25,0))</f>
        <v>388800</v>
      </c>
      <c r="P110" s="12" t="n">
        <f aca="false">J110*INDEX(Assumptions!$M$23:$M$25,MATCH(K110,Assumptions!$A$23:$A$25,0))</f>
        <v>652528.007352941</v>
      </c>
      <c r="Q110" s="12" t="n">
        <f aca="false">J110*INDEX(Assumptions!$N$23:$N$25,MATCH(K110,Assumptions!$A$23:$A$25,0))</f>
        <v>125505.601470588</v>
      </c>
      <c r="R110" s="6" t="s">
        <v>485</v>
      </c>
      <c r="S110" s="6"/>
      <c r="T110" s="29" t="s">
        <v>486</v>
      </c>
    </row>
    <row r="111" customFormat="false" ht="23.85" hidden="false" customHeight="false" outlineLevel="0" collapsed="false">
      <c r="A111" s="10" t="n">
        <v>107</v>
      </c>
      <c r="B111" s="13" t="s">
        <v>368</v>
      </c>
      <c r="C111" s="8" t="s">
        <v>37</v>
      </c>
      <c r="D111" s="8" t="s">
        <v>368</v>
      </c>
      <c r="E111" s="8" t="s">
        <v>47</v>
      </c>
      <c r="F111" s="27" t="n">
        <v>3</v>
      </c>
      <c r="G111" s="28" t="n">
        <f aca="false">INDEX(Rollout!$C$7:$C$9,F111)</f>
        <v>2029</v>
      </c>
      <c r="H111" s="23" t="s">
        <v>467</v>
      </c>
      <c r="I111" s="27" t="n">
        <v>37</v>
      </c>
      <c r="J111" s="27" t="n">
        <v>1</v>
      </c>
      <c r="K111" s="23" t="s">
        <v>135</v>
      </c>
      <c r="L111" s="18" t="str">
        <f aca="false">INDEX(Assumptions!$B$23:$B$25,MATCH(K111,Assumptions!$A$23:$A$25,0))</f>
        <v>Golfzon GDR Plus</v>
      </c>
      <c r="M111" s="11" t="n">
        <f aca="false">J111*INDEX(Assumptions!$D$23:$D$25,MATCH(K111,Assumptions!$A$23:$A$25,0))</f>
        <v>529100</v>
      </c>
      <c r="N111" s="10" t="n">
        <f aca="false">J111*INDEX(Assumptions!$G$23:$G$25,MATCH(K111,Assumptions!$A$23:$A$25,0))</f>
        <v>1620</v>
      </c>
      <c r="O111" s="12" t="n">
        <f aca="false">J111*INDEX(Assumptions!$H$23:$H$25,MATCH(K111,Assumptions!$A$23:$A$25,0))</f>
        <v>388800</v>
      </c>
      <c r="P111" s="12" t="n">
        <f aca="false">J111*INDEX(Assumptions!$M$23:$M$25,MATCH(K111,Assumptions!$A$23:$A$25,0))</f>
        <v>652528.007352941</v>
      </c>
      <c r="Q111" s="12" t="n">
        <f aca="false">J111*INDEX(Assumptions!$N$23:$N$25,MATCH(K111,Assumptions!$A$23:$A$25,0))</f>
        <v>125505.601470588</v>
      </c>
      <c r="R111" s="6" t="s">
        <v>487</v>
      </c>
      <c r="S111" s="6"/>
      <c r="T111" s="29" t="s">
        <v>488</v>
      </c>
    </row>
    <row r="112" customFormat="false" ht="23.85" hidden="false" customHeight="false" outlineLevel="0" collapsed="false">
      <c r="A112" s="10" t="n">
        <v>108</v>
      </c>
      <c r="B112" s="13" t="s">
        <v>489</v>
      </c>
      <c r="C112" s="8" t="s">
        <v>38</v>
      </c>
      <c r="D112" s="8" t="s">
        <v>489</v>
      </c>
      <c r="E112" s="8" t="s">
        <v>47</v>
      </c>
      <c r="F112" s="27" t="n">
        <v>3</v>
      </c>
      <c r="G112" s="28" t="n">
        <f aca="false">INDEX(Rollout!$C$7:$C$9,F112)</f>
        <v>2029</v>
      </c>
      <c r="H112" s="23" t="s">
        <v>467</v>
      </c>
      <c r="I112" s="27" t="n">
        <v>38</v>
      </c>
      <c r="J112" s="27" t="n">
        <v>1</v>
      </c>
      <c r="K112" s="23" t="s">
        <v>135</v>
      </c>
      <c r="L112" s="18" t="str">
        <f aca="false">INDEX(Assumptions!$B$23:$B$25,MATCH(K112,Assumptions!$A$23:$A$25,0))</f>
        <v>Golfzon GDR Plus</v>
      </c>
      <c r="M112" s="11" t="n">
        <f aca="false">J112*INDEX(Assumptions!$D$23:$D$25,MATCH(K112,Assumptions!$A$23:$A$25,0))</f>
        <v>529100</v>
      </c>
      <c r="N112" s="10" t="n">
        <f aca="false">J112*INDEX(Assumptions!$G$23:$G$25,MATCH(K112,Assumptions!$A$23:$A$25,0))</f>
        <v>1620</v>
      </c>
      <c r="O112" s="12" t="n">
        <f aca="false">J112*INDEX(Assumptions!$H$23:$H$25,MATCH(K112,Assumptions!$A$23:$A$25,0))</f>
        <v>388800</v>
      </c>
      <c r="P112" s="12" t="n">
        <f aca="false">J112*INDEX(Assumptions!$M$23:$M$25,MATCH(K112,Assumptions!$A$23:$A$25,0))</f>
        <v>652528.007352941</v>
      </c>
      <c r="Q112" s="12" t="n">
        <f aca="false">J112*INDEX(Assumptions!$N$23:$N$25,MATCH(K112,Assumptions!$A$23:$A$25,0))</f>
        <v>125505.601470588</v>
      </c>
      <c r="R112" s="6" t="s">
        <v>490</v>
      </c>
      <c r="S112" s="6"/>
      <c r="T112" s="29" t="s">
        <v>491</v>
      </c>
    </row>
    <row r="113" customFormat="false" ht="23.85" hidden="false" customHeight="false" outlineLevel="0" collapsed="false">
      <c r="A113" s="10" t="n">
        <v>109</v>
      </c>
      <c r="B113" s="13" t="s">
        <v>492</v>
      </c>
      <c r="C113" s="8" t="s">
        <v>39</v>
      </c>
      <c r="D113" s="8" t="s">
        <v>492</v>
      </c>
      <c r="E113" s="8" t="s">
        <v>47</v>
      </c>
      <c r="F113" s="27" t="n">
        <v>3</v>
      </c>
      <c r="G113" s="28" t="n">
        <f aca="false">INDEX(Rollout!$C$7:$C$9,F113)</f>
        <v>2029</v>
      </c>
      <c r="H113" s="23" t="s">
        <v>467</v>
      </c>
      <c r="I113" s="27" t="n">
        <v>39</v>
      </c>
      <c r="J113" s="27" t="n">
        <v>1</v>
      </c>
      <c r="K113" s="23" t="s">
        <v>135</v>
      </c>
      <c r="L113" s="18" t="str">
        <f aca="false">INDEX(Assumptions!$B$23:$B$25,MATCH(K113,Assumptions!$A$23:$A$25,0))</f>
        <v>Golfzon GDR Plus</v>
      </c>
      <c r="M113" s="11" t="n">
        <f aca="false">J113*INDEX(Assumptions!$D$23:$D$25,MATCH(K113,Assumptions!$A$23:$A$25,0))</f>
        <v>529100</v>
      </c>
      <c r="N113" s="10" t="n">
        <f aca="false">J113*INDEX(Assumptions!$G$23:$G$25,MATCH(K113,Assumptions!$A$23:$A$25,0))</f>
        <v>1620</v>
      </c>
      <c r="O113" s="12" t="n">
        <f aca="false">J113*INDEX(Assumptions!$H$23:$H$25,MATCH(K113,Assumptions!$A$23:$A$25,0))</f>
        <v>388800</v>
      </c>
      <c r="P113" s="12" t="n">
        <f aca="false">J113*INDEX(Assumptions!$M$23:$M$25,MATCH(K113,Assumptions!$A$23:$A$25,0))</f>
        <v>652528.007352941</v>
      </c>
      <c r="Q113" s="12" t="n">
        <f aca="false">J113*INDEX(Assumptions!$N$23:$N$25,MATCH(K113,Assumptions!$A$23:$A$25,0))</f>
        <v>125505.601470588</v>
      </c>
      <c r="R113" s="6" t="s">
        <v>493</v>
      </c>
      <c r="S113" s="6"/>
      <c r="T113" s="29" t="s">
        <v>494</v>
      </c>
    </row>
    <row r="114" customFormat="false" ht="15" hidden="false" customHeight="false" outlineLevel="0" collapsed="false">
      <c r="A114" s="10" t="n">
        <v>110</v>
      </c>
      <c r="B114" s="13" t="s">
        <v>495</v>
      </c>
      <c r="C114" s="8" t="s">
        <v>39</v>
      </c>
      <c r="D114" s="8" t="s">
        <v>496</v>
      </c>
      <c r="E114" s="8" t="s">
        <v>47</v>
      </c>
      <c r="F114" s="27" t="n">
        <v>3</v>
      </c>
      <c r="G114" s="28" t="n">
        <f aca="false">INDEX(Rollout!$C$7:$C$9,F114)</f>
        <v>2029</v>
      </c>
      <c r="H114" s="23" t="s">
        <v>467</v>
      </c>
      <c r="I114" s="27" t="n">
        <v>40</v>
      </c>
      <c r="J114" s="27" t="n">
        <v>1</v>
      </c>
      <c r="K114" s="23" t="s">
        <v>135</v>
      </c>
      <c r="L114" s="18" t="str">
        <f aca="false">INDEX(Assumptions!$B$23:$B$25,MATCH(K114,Assumptions!$A$23:$A$25,0))</f>
        <v>Golfzon GDR Plus</v>
      </c>
      <c r="M114" s="11" t="n">
        <f aca="false">J114*INDEX(Assumptions!$D$23:$D$25,MATCH(K114,Assumptions!$A$23:$A$25,0))</f>
        <v>529100</v>
      </c>
      <c r="N114" s="10" t="n">
        <f aca="false">J114*INDEX(Assumptions!$G$23:$G$25,MATCH(K114,Assumptions!$A$23:$A$25,0))</f>
        <v>1620</v>
      </c>
      <c r="O114" s="12" t="n">
        <f aca="false">J114*INDEX(Assumptions!$H$23:$H$25,MATCH(K114,Assumptions!$A$23:$A$25,0))</f>
        <v>388800</v>
      </c>
      <c r="P114" s="12" t="n">
        <f aca="false">J114*INDEX(Assumptions!$M$23:$M$25,MATCH(K114,Assumptions!$A$23:$A$25,0))</f>
        <v>652528.007352941</v>
      </c>
      <c r="Q114" s="12" t="n">
        <f aca="false">J114*INDEX(Assumptions!$N$23:$N$25,MATCH(K114,Assumptions!$A$23:$A$25,0))</f>
        <v>125505.601470588</v>
      </c>
      <c r="R114" s="6" t="s">
        <v>497</v>
      </c>
      <c r="S114" s="6" t="s">
        <v>498</v>
      </c>
      <c r="T114" s="29" t="s">
        <v>499</v>
      </c>
    </row>
    <row r="115" customFormat="false" ht="23.85" hidden="false" customHeight="false" outlineLevel="0" collapsed="false">
      <c r="A115" s="10" t="n">
        <v>111</v>
      </c>
      <c r="B115" s="13" t="s">
        <v>500</v>
      </c>
      <c r="C115" s="8" t="s">
        <v>40</v>
      </c>
      <c r="D115" s="8" t="s">
        <v>500</v>
      </c>
      <c r="E115" s="8" t="s">
        <v>47</v>
      </c>
      <c r="F115" s="27" t="n">
        <v>3</v>
      </c>
      <c r="G115" s="28" t="n">
        <f aca="false">INDEX(Rollout!$C$7:$C$9,F115)</f>
        <v>2029</v>
      </c>
      <c r="H115" s="23" t="s">
        <v>467</v>
      </c>
      <c r="I115" s="27" t="n">
        <v>41</v>
      </c>
      <c r="J115" s="27" t="n">
        <v>1</v>
      </c>
      <c r="K115" s="23" t="s">
        <v>135</v>
      </c>
      <c r="L115" s="18" t="str">
        <f aca="false">INDEX(Assumptions!$B$23:$B$25,MATCH(K115,Assumptions!$A$23:$A$25,0))</f>
        <v>Golfzon GDR Plus</v>
      </c>
      <c r="M115" s="11" t="n">
        <f aca="false">J115*INDEX(Assumptions!$D$23:$D$25,MATCH(K115,Assumptions!$A$23:$A$25,0))</f>
        <v>529100</v>
      </c>
      <c r="N115" s="10" t="n">
        <f aca="false">J115*INDEX(Assumptions!$G$23:$G$25,MATCH(K115,Assumptions!$A$23:$A$25,0))</f>
        <v>1620</v>
      </c>
      <c r="O115" s="12" t="n">
        <f aca="false">J115*INDEX(Assumptions!$H$23:$H$25,MATCH(K115,Assumptions!$A$23:$A$25,0))</f>
        <v>388800</v>
      </c>
      <c r="P115" s="12" t="n">
        <f aca="false">J115*INDEX(Assumptions!$M$23:$M$25,MATCH(K115,Assumptions!$A$23:$A$25,0))</f>
        <v>652528.007352941</v>
      </c>
      <c r="Q115" s="12" t="n">
        <f aca="false">J115*INDEX(Assumptions!$N$23:$N$25,MATCH(K115,Assumptions!$A$23:$A$25,0))</f>
        <v>125505.601470588</v>
      </c>
      <c r="R115" s="6" t="s">
        <v>501</v>
      </c>
      <c r="S115" s="6"/>
      <c r="T115" s="29" t="s">
        <v>502</v>
      </c>
    </row>
    <row r="116" customFormat="false" ht="23.85" hidden="false" customHeight="false" outlineLevel="0" collapsed="false">
      <c r="A116" s="10" t="n">
        <v>112</v>
      </c>
      <c r="B116" s="13" t="s">
        <v>503</v>
      </c>
      <c r="C116" s="8" t="s">
        <v>40</v>
      </c>
      <c r="D116" s="8" t="s">
        <v>500</v>
      </c>
      <c r="E116" s="8" t="s">
        <v>47</v>
      </c>
      <c r="F116" s="27" t="n">
        <v>3</v>
      </c>
      <c r="G116" s="28" t="n">
        <f aca="false">INDEX(Rollout!$C$7:$C$9,F116)</f>
        <v>2029</v>
      </c>
      <c r="H116" s="23" t="s">
        <v>467</v>
      </c>
      <c r="I116" s="27" t="n">
        <v>42</v>
      </c>
      <c r="J116" s="27" t="n">
        <v>1</v>
      </c>
      <c r="K116" s="23" t="s">
        <v>135</v>
      </c>
      <c r="L116" s="18" t="str">
        <f aca="false">INDEX(Assumptions!$B$23:$B$25,MATCH(K116,Assumptions!$A$23:$A$25,0))</f>
        <v>Golfzon GDR Plus</v>
      </c>
      <c r="M116" s="11" t="n">
        <f aca="false">J116*INDEX(Assumptions!$D$23:$D$25,MATCH(K116,Assumptions!$A$23:$A$25,0))</f>
        <v>529100</v>
      </c>
      <c r="N116" s="10" t="n">
        <f aca="false">J116*INDEX(Assumptions!$G$23:$G$25,MATCH(K116,Assumptions!$A$23:$A$25,0))</f>
        <v>1620</v>
      </c>
      <c r="O116" s="12" t="n">
        <f aca="false">J116*INDEX(Assumptions!$H$23:$H$25,MATCH(K116,Assumptions!$A$23:$A$25,0))</f>
        <v>388800</v>
      </c>
      <c r="P116" s="12" t="n">
        <f aca="false">J116*INDEX(Assumptions!$M$23:$M$25,MATCH(K116,Assumptions!$A$23:$A$25,0))</f>
        <v>652528.007352941</v>
      </c>
      <c r="Q116" s="12" t="n">
        <f aca="false">J116*INDEX(Assumptions!$N$23:$N$25,MATCH(K116,Assumptions!$A$23:$A$25,0))</f>
        <v>125505.601470588</v>
      </c>
      <c r="R116" s="6" t="s">
        <v>501</v>
      </c>
      <c r="S116" s="6"/>
      <c r="T116" s="29" t="s">
        <v>504</v>
      </c>
    </row>
    <row r="117" customFormat="false" ht="23.85" hidden="false" customHeight="false" outlineLevel="0" collapsed="false">
      <c r="A117" s="10" t="n">
        <v>113</v>
      </c>
      <c r="B117" s="13" t="s">
        <v>505</v>
      </c>
      <c r="C117" s="8" t="s">
        <v>42</v>
      </c>
      <c r="D117" s="8" t="s">
        <v>505</v>
      </c>
      <c r="E117" s="8" t="s">
        <v>47</v>
      </c>
      <c r="F117" s="27" t="n">
        <v>3</v>
      </c>
      <c r="G117" s="28" t="n">
        <f aca="false">INDEX(Rollout!$C$7:$C$9,F117)</f>
        <v>2029</v>
      </c>
      <c r="H117" s="23" t="s">
        <v>467</v>
      </c>
      <c r="I117" s="27" t="n">
        <v>43</v>
      </c>
      <c r="J117" s="27" t="n">
        <v>1</v>
      </c>
      <c r="K117" s="23" t="s">
        <v>135</v>
      </c>
      <c r="L117" s="18" t="str">
        <f aca="false">INDEX(Assumptions!$B$23:$B$25,MATCH(K117,Assumptions!$A$23:$A$25,0))</f>
        <v>Golfzon GDR Plus</v>
      </c>
      <c r="M117" s="11" t="n">
        <f aca="false">J117*INDEX(Assumptions!$D$23:$D$25,MATCH(K117,Assumptions!$A$23:$A$25,0))</f>
        <v>529100</v>
      </c>
      <c r="N117" s="10" t="n">
        <f aca="false">J117*INDEX(Assumptions!$G$23:$G$25,MATCH(K117,Assumptions!$A$23:$A$25,0))</f>
        <v>1620</v>
      </c>
      <c r="O117" s="12" t="n">
        <f aca="false">J117*INDEX(Assumptions!$H$23:$H$25,MATCH(K117,Assumptions!$A$23:$A$25,0))</f>
        <v>388800</v>
      </c>
      <c r="P117" s="12" t="n">
        <f aca="false">J117*INDEX(Assumptions!$M$23:$M$25,MATCH(K117,Assumptions!$A$23:$A$25,0))</f>
        <v>652528.007352941</v>
      </c>
      <c r="Q117" s="12" t="n">
        <f aca="false">J117*INDEX(Assumptions!$N$23:$N$25,MATCH(K117,Assumptions!$A$23:$A$25,0))</f>
        <v>125505.601470588</v>
      </c>
      <c r="R117" s="6" t="s">
        <v>506</v>
      </c>
      <c r="S117" s="6"/>
      <c r="T117" s="29" t="s">
        <v>507</v>
      </c>
    </row>
    <row r="118" customFormat="false" ht="23.85" hidden="false" customHeight="false" outlineLevel="0" collapsed="false">
      <c r="A118" s="10" t="n">
        <v>114</v>
      </c>
      <c r="B118" s="13" t="s">
        <v>508</v>
      </c>
      <c r="C118" s="8" t="s">
        <v>41</v>
      </c>
      <c r="D118" s="8" t="s">
        <v>508</v>
      </c>
      <c r="E118" s="8" t="s">
        <v>47</v>
      </c>
      <c r="F118" s="27" t="n">
        <v>3</v>
      </c>
      <c r="G118" s="28" t="n">
        <f aca="false">INDEX(Rollout!$C$7:$C$9,F118)</f>
        <v>2029</v>
      </c>
      <c r="H118" s="23" t="s">
        <v>467</v>
      </c>
      <c r="I118" s="27" t="n">
        <v>44</v>
      </c>
      <c r="J118" s="27" t="n">
        <v>1</v>
      </c>
      <c r="K118" s="23" t="s">
        <v>135</v>
      </c>
      <c r="L118" s="18" t="str">
        <f aca="false">INDEX(Assumptions!$B$23:$B$25,MATCH(K118,Assumptions!$A$23:$A$25,0))</f>
        <v>Golfzon GDR Plus</v>
      </c>
      <c r="M118" s="11" t="n">
        <f aca="false">J118*INDEX(Assumptions!$D$23:$D$25,MATCH(K118,Assumptions!$A$23:$A$25,0))</f>
        <v>529100</v>
      </c>
      <c r="N118" s="10" t="n">
        <f aca="false">J118*INDEX(Assumptions!$G$23:$G$25,MATCH(K118,Assumptions!$A$23:$A$25,0))</f>
        <v>1620</v>
      </c>
      <c r="O118" s="12" t="n">
        <f aca="false">J118*INDEX(Assumptions!$H$23:$H$25,MATCH(K118,Assumptions!$A$23:$A$25,0))</f>
        <v>388800</v>
      </c>
      <c r="P118" s="12" t="n">
        <f aca="false">J118*INDEX(Assumptions!$M$23:$M$25,MATCH(K118,Assumptions!$A$23:$A$25,0))</f>
        <v>652528.007352941</v>
      </c>
      <c r="Q118" s="12" t="n">
        <f aca="false">J118*INDEX(Assumptions!$N$23:$N$25,MATCH(K118,Assumptions!$A$23:$A$25,0))</f>
        <v>125505.601470588</v>
      </c>
      <c r="R118" s="6" t="s">
        <v>509</v>
      </c>
      <c r="S118" s="6"/>
      <c r="T118" s="29" t="s">
        <v>510</v>
      </c>
    </row>
    <row r="119" customFormat="false" ht="23.85" hidden="false" customHeight="false" outlineLevel="0" collapsed="false">
      <c r="A119" s="10" t="n">
        <v>115</v>
      </c>
      <c r="B119" s="13" t="s">
        <v>511</v>
      </c>
      <c r="C119" s="8" t="s">
        <v>41</v>
      </c>
      <c r="D119" s="8" t="s">
        <v>511</v>
      </c>
      <c r="E119" s="8" t="s">
        <v>47</v>
      </c>
      <c r="F119" s="27" t="n">
        <v>3</v>
      </c>
      <c r="G119" s="28" t="n">
        <f aca="false">INDEX(Rollout!$C$7:$C$9,F119)</f>
        <v>2029</v>
      </c>
      <c r="H119" s="23" t="s">
        <v>467</v>
      </c>
      <c r="I119" s="27" t="n">
        <v>45</v>
      </c>
      <c r="J119" s="27" t="n">
        <v>1</v>
      </c>
      <c r="K119" s="23" t="s">
        <v>135</v>
      </c>
      <c r="L119" s="18" t="str">
        <f aca="false">INDEX(Assumptions!$B$23:$B$25,MATCH(K119,Assumptions!$A$23:$A$25,0))</f>
        <v>Golfzon GDR Plus</v>
      </c>
      <c r="M119" s="11" t="n">
        <f aca="false">J119*INDEX(Assumptions!$D$23:$D$25,MATCH(K119,Assumptions!$A$23:$A$25,0))</f>
        <v>529100</v>
      </c>
      <c r="N119" s="10" t="n">
        <f aca="false">J119*INDEX(Assumptions!$G$23:$G$25,MATCH(K119,Assumptions!$A$23:$A$25,0))</f>
        <v>1620</v>
      </c>
      <c r="O119" s="12" t="n">
        <f aca="false">J119*INDEX(Assumptions!$H$23:$H$25,MATCH(K119,Assumptions!$A$23:$A$25,0))</f>
        <v>388800</v>
      </c>
      <c r="P119" s="12" t="n">
        <f aca="false">J119*INDEX(Assumptions!$M$23:$M$25,MATCH(K119,Assumptions!$A$23:$A$25,0))</f>
        <v>652528.007352941</v>
      </c>
      <c r="Q119" s="12" t="n">
        <f aca="false">J119*INDEX(Assumptions!$N$23:$N$25,MATCH(K119,Assumptions!$A$23:$A$25,0))</f>
        <v>125505.601470588</v>
      </c>
      <c r="R119" s="6" t="s">
        <v>512</v>
      </c>
      <c r="S119" s="6"/>
      <c r="T119" s="29" t="s">
        <v>513</v>
      </c>
    </row>
    <row r="120" customFormat="false" ht="23.85" hidden="false" customHeight="false" outlineLevel="0" collapsed="false">
      <c r="A120" s="10" t="n">
        <v>116</v>
      </c>
      <c r="B120" s="13" t="s">
        <v>514</v>
      </c>
      <c r="C120" s="8" t="s">
        <v>41</v>
      </c>
      <c r="D120" s="8" t="s">
        <v>514</v>
      </c>
      <c r="E120" s="8" t="s">
        <v>47</v>
      </c>
      <c r="F120" s="27" t="n">
        <v>3</v>
      </c>
      <c r="G120" s="28" t="n">
        <f aca="false">INDEX(Rollout!$C$7:$C$9,F120)</f>
        <v>2029</v>
      </c>
      <c r="H120" s="23" t="s">
        <v>467</v>
      </c>
      <c r="I120" s="27" t="n">
        <v>46</v>
      </c>
      <c r="J120" s="27" t="n">
        <v>1</v>
      </c>
      <c r="K120" s="23" t="s">
        <v>135</v>
      </c>
      <c r="L120" s="18" t="str">
        <f aca="false">INDEX(Assumptions!$B$23:$B$25,MATCH(K120,Assumptions!$A$23:$A$25,0))</f>
        <v>Golfzon GDR Plus</v>
      </c>
      <c r="M120" s="11" t="n">
        <f aca="false">J120*INDEX(Assumptions!$D$23:$D$25,MATCH(K120,Assumptions!$A$23:$A$25,0))</f>
        <v>529100</v>
      </c>
      <c r="N120" s="10" t="n">
        <f aca="false">J120*INDEX(Assumptions!$G$23:$G$25,MATCH(K120,Assumptions!$A$23:$A$25,0))</f>
        <v>1620</v>
      </c>
      <c r="O120" s="12" t="n">
        <f aca="false">J120*INDEX(Assumptions!$H$23:$H$25,MATCH(K120,Assumptions!$A$23:$A$25,0))</f>
        <v>388800</v>
      </c>
      <c r="P120" s="12" t="n">
        <f aca="false">J120*INDEX(Assumptions!$M$23:$M$25,MATCH(K120,Assumptions!$A$23:$A$25,0))</f>
        <v>652528.007352941</v>
      </c>
      <c r="Q120" s="12" t="n">
        <f aca="false">J120*INDEX(Assumptions!$N$23:$N$25,MATCH(K120,Assumptions!$A$23:$A$25,0))</f>
        <v>125505.601470588</v>
      </c>
      <c r="R120" s="6" t="s">
        <v>515</v>
      </c>
      <c r="S120" s="6"/>
      <c r="T120" s="29" t="s">
        <v>516</v>
      </c>
    </row>
    <row r="121" customFormat="false" ht="23.85" hidden="false" customHeight="false" outlineLevel="0" collapsed="false">
      <c r="A121" s="10" t="n">
        <v>117</v>
      </c>
      <c r="B121" s="13" t="s">
        <v>517</v>
      </c>
      <c r="C121" s="8" t="s">
        <v>43</v>
      </c>
      <c r="D121" s="8" t="s">
        <v>518</v>
      </c>
      <c r="E121" s="8" t="s">
        <v>47</v>
      </c>
      <c r="F121" s="27" t="n">
        <v>3</v>
      </c>
      <c r="G121" s="28" t="n">
        <f aca="false">INDEX(Rollout!$C$7:$C$9,F121)</f>
        <v>2029</v>
      </c>
      <c r="H121" s="23" t="s">
        <v>467</v>
      </c>
      <c r="I121" s="27" t="n">
        <v>47</v>
      </c>
      <c r="J121" s="27" t="n">
        <v>1</v>
      </c>
      <c r="K121" s="23" t="s">
        <v>135</v>
      </c>
      <c r="L121" s="18" t="str">
        <f aca="false">INDEX(Assumptions!$B$23:$B$25,MATCH(K121,Assumptions!$A$23:$A$25,0))</f>
        <v>Golfzon GDR Plus</v>
      </c>
      <c r="M121" s="11" t="n">
        <f aca="false">J121*INDEX(Assumptions!$D$23:$D$25,MATCH(K121,Assumptions!$A$23:$A$25,0))</f>
        <v>529100</v>
      </c>
      <c r="N121" s="10" t="n">
        <f aca="false">J121*INDEX(Assumptions!$G$23:$G$25,MATCH(K121,Assumptions!$A$23:$A$25,0))</f>
        <v>1620</v>
      </c>
      <c r="O121" s="12" t="n">
        <f aca="false">J121*INDEX(Assumptions!$H$23:$H$25,MATCH(K121,Assumptions!$A$23:$A$25,0))</f>
        <v>388800</v>
      </c>
      <c r="P121" s="12" t="n">
        <f aca="false">J121*INDEX(Assumptions!$M$23:$M$25,MATCH(K121,Assumptions!$A$23:$A$25,0))</f>
        <v>652528.007352941</v>
      </c>
      <c r="Q121" s="12" t="n">
        <f aca="false">J121*INDEX(Assumptions!$N$23:$N$25,MATCH(K121,Assumptions!$A$23:$A$25,0))</f>
        <v>125505.601470588</v>
      </c>
      <c r="R121" s="6" t="s">
        <v>519</v>
      </c>
      <c r="S121" s="6"/>
      <c r="T121" s="29" t="s">
        <v>520</v>
      </c>
    </row>
    <row r="122" customFormat="false" ht="23.85" hidden="false" customHeight="false" outlineLevel="0" collapsed="false">
      <c r="A122" s="10" t="n">
        <v>118</v>
      </c>
      <c r="B122" s="13" t="s">
        <v>521</v>
      </c>
      <c r="C122" s="8" t="s">
        <v>44</v>
      </c>
      <c r="D122" s="8" t="s">
        <v>522</v>
      </c>
      <c r="E122" s="8" t="s">
        <v>47</v>
      </c>
      <c r="F122" s="27" t="n">
        <v>3</v>
      </c>
      <c r="G122" s="28" t="n">
        <f aca="false">INDEX(Rollout!$C$7:$C$9,F122)</f>
        <v>2029</v>
      </c>
      <c r="H122" s="23" t="s">
        <v>467</v>
      </c>
      <c r="I122" s="27" t="n">
        <v>48</v>
      </c>
      <c r="J122" s="27" t="n">
        <v>1</v>
      </c>
      <c r="K122" s="23" t="s">
        <v>135</v>
      </c>
      <c r="L122" s="18" t="str">
        <f aca="false">INDEX(Assumptions!$B$23:$B$25,MATCH(K122,Assumptions!$A$23:$A$25,0))</f>
        <v>Golfzon GDR Plus</v>
      </c>
      <c r="M122" s="11" t="n">
        <f aca="false">J122*INDEX(Assumptions!$D$23:$D$25,MATCH(K122,Assumptions!$A$23:$A$25,0))</f>
        <v>529100</v>
      </c>
      <c r="N122" s="10" t="n">
        <f aca="false">J122*INDEX(Assumptions!$G$23:$G$25,MATCH(K122,Assumptions!$A$23:$A$25,0))</f>
        <v>1620</v>
      </c>
      <c r="O122" s="12" t="n">
        <f aca="false">J122*INDEX(Assumptions!$H$23:$H$25,MATCH(K122,Assumptions!$A$23:$A$25,0))</f>
        <v>388800</v>
      </c>
      <c r="P122" s="12" t="n">
        <f aca="false">J122*INDEX(Assumptions!$M$23:$M$25,MATCH(K122,Assumptions!$A$23:$A$25,0))</f>
        <v>652528.007352941</v>
      </c>
      <c r="Q122" s="12" t="n">
        <f aca="false">J122*INDEX(Assumptions!$N$23:$N$25,MATCH(K122,Assumptions!$A$23:$A$25,0))</f>
        <v>125505.601470588</v>
      </c>
      <c r="R122" s="6" t="s">
        <v>523</v>
      </c>
      <c r="S122" s="6"/>
      <c r="T122" s="29" t="s">
        <v>524</v>
      </c>
    </row>
    <row r="123" customFormat="false" ht="23.85" hidden="false" customHeight="false" outlineLevel="0" collapsed="false">
      <c r="A123" s="10" t="n">
        <v>119</v>
      </c>
      <c r="B123" s="13" t="s">
        <v>525</v>
      </c>
      <c r="C123" s="8" t="s">
        <v>44</v>
      </c>
      <c r="D123" s="8" t="s">
        <v>522</v>
      </c>
      <c r="E123" s="8" t="s">
        <v>47</v>
      </c>
      <c r="F123" s="27" t="n">
        <v>3</v>
      </c>
      <c r="G123" s="28" t="n">
        <f aca="false">INDEX(Rollout!$C$7:$C$9,F123)</f>
        <v>2029</v>
      </c>
      <c r="H123" s="23" t="s">
        <v>467</v>
      </c>
      <c r="I123" s="27" t="n">
        <v>49</v>
      </c>
      <c r="J123" s="27" t="n">
        <v>1</v>
      </c>
      <c r="K123" s="23" t="s">
        <v>135</v>
      </c>
      <c r="L123" s="18" t="str">
        <f aca="false">INDEX(Assumptions!$B$23:$B$25,MATCH(K123,Assumptions!$A$23:$A$25,0))</f>
        <v>Golfzon GDR Plus</v>
      </c>
      <c r="M123" s="11" t="n">
        <f aca="false">J123*INDEX(Assumptions!$D$23:$D$25,MATCH(K123,Assumptions!$A$23:$A$25,0))</f>
        <v>529100</v>
      </c>
      <c r="N123" s="10" t="n">
        <f aca="false">J123*INDEX(Assumptions!$G$23:$G$25,MATCH(K123,Assumptions!$A$23:$A$25,0))</f>
        <v>1620</v>
      </c>
      <c r="O123" s="12" t="n">
        <f aca="false">J123*INDEX(Assumptions!$H$23:$H$25,MATCH(K123,Assumptions!$A$23:$A$25,0))</f>
        <v>388800</v>
      </c>
      <c r="P123" s="12" t="n">
        <f aca="false">J123*INDEX(Assumptions!$M$23:$M$25,MATCH(K123,Assumptions!$A$23:$A$25,0))</f>
        <v>652528.007352941</v>
      </c>
      <c r="Q123" s="12" t="n">
        <f aca="false">J123*INDEX(Assumptions!$N$23:$N$25,MATCH(K123,Assumptions!$A$23:$A$25,0))</f>
        <v>125505.601470588</v>
      </c>
      <c r="R123" s="6" t="s">
        <v>523</v>
      </c>
      <c r="S123" s="6"/>
      <c r="T123" s="29" t="s">
        <v>526</v>
      </c>
    </row>
    <row r="124" customFormat="false" ht="15" hidden="false" customHeight="false" outlineLevel="0" collapsed="false">
      <c r="B124" s="13" t="s">
        <v>527</v>
      </c>
      <c r="J124" s="5" t="n">
        <f aca="false">SUM(J5:J123)</f>
        <v>189</v>
      </c>
      <c r="M124" s="14" t="n">
        <f aca="false">SUM(M5:M123)</f>
        <v>174073900</v>
      </c>
      <c r="N124" s="5" t="n">
        <f aca="false">SUM(N5:N123)</f>
        <v>347220</v>
      </c>
      <c r="O124" s="15" t="n">
        <f aca="false">SUM(O5:O123)</f>
        <v>133185600</v>
      </c>
      <c r="P124" s="15" t="n">
        <f aca="false">SUM(P5:P123)</f>
        <v>184004893.389706</v>
      </c>
      <c r="Q124" s="15" t="n">
        <f aca="false">SUM(Q5:Q123)</f>
        <v>35855978.6779412</v>
      </c>
    </row>
  </sheetData>
  <autoFilter ref="A4:T1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2026-09-12T09:28:05Z</dcterms:created>
  <dc:creator>openpyxl</dc:creator>
  <dc:description/>
  <dc:language>en-US</dc:language>
  <cp:lastModifiedBy/>
  <dcterms:modified xsi:type="dcterms:W3CDTF">2026-09-12T09:28:05Z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